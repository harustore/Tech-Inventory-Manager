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Registro" sheetId="1" r:id="rId4"/>
    <sheet state="visible" name="💰 Capital" sheetId="2" r:id="rId5"/>
    <sheet state="visible" name="📋 Stock Activo" sheetId="3" r:id="rId6"/>
    <sheet state="visible" name="📊 Dashboard" sheetId="4" r:id="rId7"/>
    <sheet state="visible" name="📖 Guía" sheetId="5" r:id="rId8"/>
  </sheets>
  <definedNames/>
  <calcPr/>
  <extLst>
    <ext uri="GoogleSheetsCustomDataVersion2">
      <go:sheetsCustomData xmlns:go="http://customooxmlschemas.google.com/" r:id="rId9" roundtripDataChecksum="TBjnKgBRh/4WTbsbDI0GzUo8KI4Dm5O5RHQLns8yqTQ="/>
    </ext>
  </extLst>
</workbook>
</file>

<file path=xl/sharedStrings.xml><?xml version="1.0" encoding="utf-8"?>
<sst xmlns="http://schemas.openxmlformats.org/spreadsheetml/2006/main" count="280" uniqueCount="195">
  <si>
    <t>🖥️  REGISTRO COMPLETO DE OPERACIONES — REVENTA DE TECNOLOGÍA</t>
  </si>
  <si>
    <t>Registra TODOS los equipos aquí. El Stock activo se actualiza solo en la hoja 📋 Stock.</t>
  </si>
  <si>
    <t>ID</t>
  </si>
  <si>
    <t>Categoría</t>
  </si>
  <si>
    <t>Fecha
Compra</t>
  </si>
  <si>
    <t>Equipo</t>
  </si>
  <si>
    <t>Marca</t>
  </si>
  <si>
    <t>Modelo</t>
  </si>
  <si>
    <t>Bateria</t>
  </si>
  <si>
    <t>IMEI / S/N</t>
  </si>
  <si>
    <t>Estado
Equipo</t>
  </si>
  <si>
    <t>Proveedor</t>
  </si>
  <si>
    <t>Forma Pago
Compra</t>
  </si>
  <si>
    <t>Precio
Compra</t>
  </si>
  <si>
    <t>Gastos
Extra</t>
  </si>
  <si>
    <t>Costo
Total</t>
  </si>
  <si>
    <t>Fecha
Venta</t>
  </si>
  <si>
    <t>Plataforma
Venta</t>
  </si>
  <si>
    <t>Precio
Venta</t>
  </si>
  <si>
    <t>Ganancia
Neta</t>
  </si>
  <si>
    <t>Comentarios</t>
  </si>
  <si>
    <t>Smartphone</t>
  </si>
  <si>
    <t>HUAWEI NOVA 14 PRO</t>
  </si>
  <si>
    <t>HUAWEI</t>
  </si>
  <si>
    <t>NOVA 14 PRO</t>
  </si>
  <si>
    <t>867545070236530/867545070240581</t>
  </si>
  <si>
    <t>Como nuevo</t>
  </si>
  <si>
    <t>BYRON MUÑOZ/WUKONGS TORE</t>
  </si>
  <si>
    <t>Transferencia</t>
  </si>
  <si>
    <t>Facebook Marketplace</t>
  </si>
  <si>
    <t xml:space="preserve">REDMI NOTE 13 PRO PLUS - IMEI 2 - TAPA TRIZADA </t>
  </si>
  <si>
    <t>XIAOMI</t>
  </si>
  <si>
    <t>REDMI NOTE 13 PRO PUS</t>
  </si>
  <si>
    <t>868451068875703 - 868451068875711</t>
  </si>
  <si>
    <t>Con falla</t>
  </si>
  <si>
    <t>JOSE ANTONIO LLAULEN</t>
  </si>
  <si>
    <t>Presencial</t>
  </si>
  <si>
    <t>SAMSUNG GALAXY A55 8/128</t>
  </si>
  <si>
    <t>SAMSUNG</t>
  </si>
  <si>
    <t>GALAXY A55</t>
  </si>
  <si>
    <t xml:space="preserve">357042144369411 - 357695574369415
</t>
  </si>
  <si>
    <t xml:space="preserve">APPLE IPHONE 14 PRO 256GB </t>
  </si>
  <si>
    <t>APPLE</t>
  </si>
  <si>
    <t>IPHONE 14 PRO</t>
  </si>
  <si>
    <t>358996914951899 - 358996914594772</t>
  </si>
  <si>
    <t>CARLOS ALBERTO BRUNA RAMOS</t>
  </si>
  <si>
    <t xml:space="preserve">APPLE IPHONE 11 PRO 64GB </t>
  </si>
  <si>
    <t>IPHONE 11 PRO</t>
  </si>
  <si>
    <t>HONOR POWER 2 12/256</t>
  </si>
  <si>
    <t>HONOR</t>
  </si>
  <si>
    <t>POWER 2</t>
  </si>
  <si>
    <t>862304082444186/:862304082517940</t>
  </si>
  <si>
    <t>EDSON</t>
  </si>
  <si>
    <t>Notebook</t>
  </si>
  <si>
    <t xml:space="preserve">ASUS PROART STUDIOBOOK I9/64 GB </t>
  </si>
  <si>
    <t>ASUS</t>
  </si>
  <si>
    <t>PROART</t>
  </si>
  <si>
    <t>LENOVO THINKBOOK P16 GEN 2</t>
  </si>
  <si>
    <t>LENOVO</t>
  </si>
  <si>
    <t>THINKBOOK P16 GEN 2</t>
  </si>
  <si>
    <t>DIEGO</t>
  </si>
  <si>
    <t>LENOVO LEGION 5 I7/32GB/1TB</t>
  </si>
  <si>
    <t>LEGION 5</t>
  </si>
  <si>
    <t>Bueno</t>
  </si>
  <si>
    <t>FRANCISCO</t>
  </si>
  <si>
    <t>DELL VOSTRO 3405 RYZEN 5</t>
  </si>
  <si>
    <t>DELL</t>
  </si>
  <si>
    <t>VOSTRO</t>
  </si>
  <si>
    <t>ANALYS</t>
  </si>
  <si>
    <t>Smartwatch</t>
  </si>
  <si>
    <t>APPLE WATCH SE GEN 2 44M + CELLULAR</t>
  </si>
  <si>
    <t>SE GEN 2 44M</t>
  </si>
  <si>
    <t>CARLOS</t>
  </si>
  <si>
    <t>MercadoPago</t>
  </si>
  <si>
    <t>Computador</t>
  </si>
  <si>
    <t>LENOVO THINKCENTRE M70Q GEN 6</t>
  </si>
  <si>
    <t>THINKCENTRE M70Q GEN 6</t>
  </si>
  <si>
    <t>Nuevo</t>
  </si>
  <si>
    <t>MATIAS</t>
  </si>
  <si>
    <t>TORRE THREADRIPPER</t>
  </si>
  <si>
    <t>MSI</t>
  </si>
  <si>
    <t>GENERICO</t>
  </si>
  <si>
    <t>PATRICIO</t>
  </si>
  <si>
    <t>CPU RYZEN 7 3700X, 1660TI</t>
  </si>
  <si>
    <t>COOLERMASTER</t>
  </si>
  <si>
    <t>VICENTE TOMAS SANDOBAL GOMEZ</t>
  </si>
  <si>
    <t>REDMI NOTE 15 PRO 512GB</t>
  </si>
  <si>
    <t>REDMI NOTE 15 PRO</t>
  </si>
  <si>
    <t>VICTOR MESARINO</t>
  </si>
  <si>
    <t>DELL LATITUDE 3240</t>
  </si>
  <si>
    <t>LATITUDE 3420</t>
  </si>
  <si>
    <t>FERNAND LIOPEZ ESPINOZA</t>
  </si>
  <si>
    <t>Efectivo</t>
  </si>
  <si>
    <t xml:space="preserve">SAMSUNG GALAXY A07 </t>
  </si>
  <si>
    <t>GALAXY A07</t>
  </si>
  <si>
    <t>JOSE PANCHO DIAZ</t>
  </si>
  <si>
    <t xml:space="preserve">APPLE IPHONE 14 PRO MAX 256GB </t>
  </si>
  <si>
    <t>14 PRO MAX</t>
  </si>
  <si>
    <t>MAU</t>
  </si>
  <si>
    <t>Otro</t>
  </si>
  <si>
    <t>MOTOROLA MOTO G86 POWER</t>
  </si>
  <si>
    <t>MOTOROLA</t>
  </si>
  <si>
    <t>G86 POWER</t>
  </si>
  <si>
    <t>ANITA</t>
  </si>
  <si>
    <t>💰  CONTROL DE CAPITAL</t>
  </si>
  <si>
    <t>El saldo se actualiza automáticamente con cada compra y venta registrada en 📦 Registro.</t>
  </si>
  <si>
    <t>✏️  Capital inicial (ingrésalo tú)</t>
  </si>
  <si>
    <t>↑ Escribe aquí tu capital disponible actual en CLP</t>
  </si>
  <si>
    <t>💸  Total Invertido (compras)</t>
  </si>
  <si>
    <t>✅  Total Recaudado (ventas)</t>
  </si>
  <si>
    <t>📦  Capital en Stock (sin vender)</t>
  </si>
  <si>
    <t>💵  SALDO DISPONIBLE</t>
  </si>
  <si>
    <t>Capital inicial + Ventas cobradas - Compras realizadas</t>
  </si>
  <si>
    <t>📋  HISTORIAL DE MOVIMIENTOS (primeras 15 entradas del Registro)</t>
  </si>
  <si>
    <t>Fecha Compra</t>
  </si>
  <si>
    <t>Tipo</t>
  </si>
  <si>
    <t>Monto (CLP)</t>
  </si>
  <si>
    <t>Saldo Acum.</t>
  </si>
  <si>
    <t>📋  STOCK ACTIVO — Equipos disponibles para vender</t>
  </si>
  <si>
    <t>Se actualiza automáticamente. Solo aparecen equipos SIN fecha de venta.</t>
  </si>
  <si>
    <t>Estado</t>
  </si>
  <si>
    <t>Costo Total</t>
  </si>
  <si>
    <t>Días en Stock</t>
  </si>
  <si>
    <t>📊  RESUMEN DEL NEGOCIO</t>
  </si>
  <si>
    <t>En Stock</t>
  </si>
  <si>
    <t>Vendidos</t>
  </si>
  <si>
    <t>Total Comprados</t>
  </si>
  <si>
    <t>Total Invertido</t>
  </si>
  <si>
    <t>Total Recaudado</t>
  </si>
  <si>
    <t>Ganancia Total</t>
  </si>
  <si>
    <t>📦  STOCK POR CATEGORÍA</t>
  </si>
  <si>
    <t>Invertido Total</t>
  </si>
  <si>
    <t>Recaudado</t>
  </si>
  <si>
    <t>Ganancia</t>
  </si>
  <si>
    <t>TV</t>
  </si>
  <si>
    <t>Tablet</t>
  </si>
  <si>
    <t>Audífonos</t>
  </si>
  <si>
    <t>Consola</t>
  </si>
  <si>
    <t>📖  GUÍA DE USO</t>
  </si>
  <si>
    <t>PASO</t>
  </si>
  <si>
    <t>CAMPO</t>
  </si>
  <si>
    <t>QUÉ INGRESAR</t>
  </si>
  <si>
    <t>1</t>
  </si>
  <si>
    <t>Tipo de equipo: Notebook, TV, Tablet, Audífonos, Consola, etc.</t>
  </si>
  <si>
    <t>2</t>
  </si>
  <si>
    <t>Fecha en que compraste (DD/MM/AAAA)</t>
  </si>
  <si>
    <t>3</t>
  </si>
  <si>
    <t>Nombre descriptivo: ej. 'MacBook Air M2 8GB 256GB Gris'</t>
  </si>
  <si>
    <t>4</t>
  </si>
  <si>
    <t>Marca / Modelo</t>
  </si>
  <si>
    <t>Marca y número de modelo específico</t>
  </si>
  <si>
    <t>5</t>
  </si>
  <si>
    <t>Celulares: IMEI. Notebooks/TV/otros: número de serie</t>
  </si>
  <si>
    <t>6</t>
  </si>
  <si>
    <t>Menú: Nuevo / Como nuevo / Bueno / Regular / Con falla</t>
  </si>
  <si>
    <t>7</t>
  </si>
  <si>
    <t>Nombre o alias de quien te vendió</t>
  </si>
  <si>
    <t>8</t>
  </si>
  <si>
    <t>Precio Compra</t>
  </si>
  <si>
    <t>Lo que pagaste (solo número, sin puntos ni $)</t>
  </si>
  <si>
    <t>9</t>
  </si>
  <si>
    <t>Gastos Extra</t>
  </si>
  <si>
    <t>Reparaciones, accesorios, flete, etc.</t>
  </si>
  <si>
    <t>10</t>
  </si>
  <si>
    <t>✅ Se calcula solo</t>
  </si>
  <si>
    <t>11</t>
  </si>
  <si>
    <t>Fecha Venta</t>
  </si>
  <si>
    <t>Llenar SOLO cuando se concrete la venta</t>
  </si>
  <si>
    <t>12</t>
  </si>
  <si>
    <t>Plataforma</t>
  </si>
  <si>
    <t>Menú: MercadoLibre, Facebook, Yapo.cl, etc.</t>
  </si>
  <si>
    <t>13</t>
  </si>
  <si>
    <t>Precio Venta</t>
  </si>
  <si>
    <t>Lo que cobraste</t>
  </si>
  <si>
    <t>14</t>
  </si>
  <si>
    <t>Ganancia Neta</t>
  </si>
  <si>
    <t>✅ Se calcula sola</t>
  </si>
  <si>
    <t>⚠️  CÓMO FUNCIONA EL STOCK</t>
  </si>
  <si>
    <t>Cómo funciona</t>
  </si>
  <si>
    <t>Al dejar Fecha Venta vacía → aparece en 📋 Stock Activo automáticamente.</t>
  </si>
  <si>
    <t>Venta concretada</t>
  </si>
  <si>
    <t>Al llenar Fecha Venta → desaparece del stock automáticamente.</t>
  </si>
  <si>
    <t>Días en stock</t>
  </si>
  <si>
    <t>El stock muestra cuántos días lleva cada equipo sin vender.</t>
  </si>
  <si>
    <t>Alerta amarilla</t>
  </si>
  <si>
    <t>30+ días sin vender → considera bajar el precio.</t>
  </si>
  <si>
    <t>Alerta roja</t>
  </si>
  <si>
    <t>60+ días sin vender → revisa la estrategia de venta.</t>
  </si>
  <si>
    <t>💡  CONSEJOS PRÁCTICOS</t>
  </si>
  <si>
    <t>IMEI siempre</t>
  </si>
  <si>
    <t>Para celulares, anota el IMEI. Protección legal ante robos.</t>
  </si>
  <si>
    <t>Gastos extra</t>
  </si>
  <si>
    <t>Incluye TODO: pantalla, cargador, transporte al comprar.</t>
  </si>
  <si>
    <t>Respaldo</t>
  </si>
  <si>
    <t>Guarda el archivo en Google Drive para acceso desde el celular.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</si>
</sst>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#,##0;\(#,##0\)"/>
    <numFmt numFmtId="167" formatCode="0&quot; días&quot;"/>
  </numFmts>
  <fonts count="27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10.0"/>
      <color rgb="FF94A3B8"/>
      <name val="Arial"/>
    </font>
    <font>
      <b/>
      <sz val="10.0"/>
      <color rgb="FFFFFFFF"/>
      <name val="Arial"/>
    </font>
    <font>
      <b/>
      <sz val="10.0"/>
      <color rgb="FF2563EB"/>
      <name val="Arial"/>
    </font>
    <font>
      <sz val="10.0"/>
      <color rgb="FF1E293B"/>
      <name val="Arial"/>
    </font>
    <font>
      <color rgb="FF1E293B"/>
      <name val="Arial"/>
    </font>
    <font>
      <sz val="11.0"/>
      <color theme="1"/>
      <name val="Calibri"/>
    </font>
    <font>
      <b/>
      <sz val="10.0"/>
      <color rgb="FF2D4A8A"/>
      <name val="Arial"/>
    </font>
    <font>
      <color theme="1"/>
      <name val="Calibri"/>
    </font>
    <font>
      <sz val="10.0"/>
      <color rgb="FF64748B"/>
      <name val="Arial"/>
    </font>
    <font>
      <b/>
      <sz val="26.0"/>
      <color rgb="FF854D0E"/>
      <name val="Arial"/>
    </font>
    <font>
      <i/>
      <sz val="9.0"/>
      <color rgb="FF94A3B8"/>
      <name val="Arial"/>
    </font>
    <font>
      <b/>
      <sz val="22.0"/>
      <color rgb="FF2D4A8A"/>
      <name val="Arial"/>
    </font>
    <font>
      <b/>
      <sz val="22.0"/>
      <color rgb="FF065F46"/>
      <name val="Arial"/>
    </font>
    <font>
      <b/>
      <sz val="22.0"/>
      <color rgb="FF854D0E"/>
      <name val="Arial"/>
    </font>
    <font>
      <b/>
      <sz val="12.0"/>
      <color rgb="FFFFFFFF"/>
      <name val="Arial"/>
    </font>
    <font>
      <b/>
      <sz val="30.0"/>
      <color rgb="FFFFFFFF"/>
      <name val="Arial"/>
    </font>
    <font>
      <b/>
      <sz val="11.0"/>
      <color rgb="FFFFFFFF"/>
      <name val="Arial"/>
    </font>
    <font>
      <b/>
      <sz val="14.0"/>
      <color rgb="FFFFFFFF"/>
      <name val="Arial"/>
    </font>
    <font>
      <sz val="8.0"/>
      <color rgb="FFFFFFFF"/>
      <name val="Arial"/>
    </font>
    <font>
      <b/>
      <sz val="20.0"/>
      <color rgb="FF2D4A8A"/>
      <name val="Arial"/>
    </font>
    <font>
      <b/>
      <sz val="20.0"/>
      <color rgb="FF065F46"/>
      <name val="Arial"/>
    </font>
    <font>
      <b/>
      <sz val="20.0"/>
      <color rgb="FF854D0E"/>
      <name val="Arial"/>
    </font>
    <font>
      <b/>
      <sz val="10.0"/>
      <color rgb="FF1E293B"/>
      <name val="Arial"/>
    </font>
    <font>
      <sz val="10.0"/>
      <color rgb="FF47556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2D4A8A"/>
        <bgColor rgb="FF2D4A8A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F1F5F9"/>
        <bgColor rgb="FFF1F5F9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2563EB"/>
        <bgColor rgb="FF2563EB"/>
      </patternFill>
    </fill>
  </fills>
  <borders count="11">
    <border/>
    <border>
      <left/>
      <top/>
      <bottom/>
    </border>
    <border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D97706"/>
      </left>
      <top style="medium">
        <color rgb="FFD97706"/>
      </top>
      <bottom style="medium">
        <color rgb="FFD97706"/>
      </bottom>
    </border>
    <border>
      <top style="medium">
        <color rgb="FFD97706"/>
      </top>
      <bottom style="medium">
        <color rgb="FFD97706"/>
      </bottom>
    </border>
    <border>
      <left style="medium">
        <color rgb="FF1D4ED8"/>
      </left>
      <top style="medium">
        <color rgb="FF1D4ED8"/>
      </top>
      <bottom style="medium">
        <color rgb="FF1D4ED8"/>
      </bottom>
    </border>
    <border>
      <top style="medium">
        <color rgb="FF1D4ED8"/>
      </top>
      <bottom style="medium">
        <color rgb="FF1D4ED8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4" fontId="7" numFmtId="164" xfId="0" applyAlignment="1" applyBorder="1" applyFont="1" applyNumberFormat="1">
      <alignment horizontal="center" shrinkToFit="0" wrapText="1"/>
    </xf>
    <xf borderId="3" fillId="4" fontId="7" numFmtId="0" xfId="0" applyAlignment="1" applyBorder="1" applyFont="1">
      <alignment shrinkToFit="0" wrapText="1"/>
    </xf>
    <xf borderId="3" fillId="4" fontId="7" numFmtId="0" xfId="0" applyAlignment="1" applyBorder="1" applyFont="1">
      <alignment horizontal="center" shrinkToFit="0" wrapText="1"/>
    </xf>
    <xf borderId="3" fillId="4" fontId="8" numFmtId="0" xfId="0" applyAlignment="1" applyBorder="1" applyFont="1">
      <alignment horizontal="center" shrinkToFit="0" vertical="center" wrapText="1"/>
    </xf>
    <xf borderId="3" fillId="4" fontId="6" numFmtId="3" xfId="0" applyAlignment="1" applyBorder="1" applyFont="1" applyNumberFormat="1">
      <alignment horizontal="center" shrinkToFit="0" vertical="center" wrapText="1"/>
    </xf>
    <xf borderId="3" fillId="5" fontId="9" numFmtId="3" xfId="0" applyAlignment="1" applyBorder="1" applyFill="1" applyFont="1" applyNumberFormat="1">
      <alignment horizontal="center" shrinkToFit="0" vertical="center" wrapText="1"/>
    </xf>
    <xf borderId="3" fillId="4" fontId="6" numFmtId="164" xfId="0" applyAlignment="1" applyBorder="1" applyFont="1" applyNumberFormat="1">
      <alignment horizontal="center" readingOrder="0" shrinkToFit="0" vertical="center" wrapText="1"/>
    </xf>
    <xf borderId="3" fillId="4" fontId="8" numFmtId="0" xfId="0" applyAlignment="1" applyBorder="1" applyFont="1">
      <alignment horizontal="center" readingOrder="0" shrinkToFit="0" vertical="center" wrapText="1"/>
    </xf>
    <xf borderId="3" fillId="4" fontId="6" numFmtId="3" xfId="0" applyAlignment="1" applyBorder="1" applyFont="1" applyNumberFormat="1">
      <alignment horizontal="center" readingOrder="0" shrinkToFit="0" vertical="center" wrapText="1"/>
    </xf>
    <xf borderId="3" fillId="0" fontId="8" numFmtId="3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6" fontId="6" numFmtId="165" xfId="0" applyAlignment="1" applyBorder="1" applyFont="1" applyNumberFormat="1">
      <alignment horizontal="center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6" fontId="6" numFmtId="3" xfId="0" applyAlignment="1" applyBorder="1" applyFont="1" applyNumberFormat="1">
      <alignment horizontal="center" shrinkToFit="0" vertical="center" wrapText="1"/>
    </xf>
    <xf borderId="3" fillId="6" fontId="6" numFmtId="164" xfId="0" applyAlignment="1" applyBorder="1" applyFont="1" applyNumberFormat="1">
      <alignment horizontal="center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3" fillId="6" fontId="6" numFmtId="9" xfId="0" applyAlignment="1" applyBorder="1" applyFont="1" applyNumberFormat="1">
      <alignment horizontal="center" shrinkToFit="0" vertical="center" wrapText="1"/>
    </xf>
    <xf borderId="3" fillId="6" fontId="6" numFmtId="164" xfId="0" applyAlignment="1" applyBorder="1" applyFont="1" applyNumberFormat="1">
      <alignment horizontal="center" readingOrder="0" shrinkToFit="0" vertical="center" wrapText="1"/>
    </xf>
    <xf borderId="3" fillId="6" fontId="8" numFmtId="0" xfId="0" applyAlignment="1" applyBorder="1" applyFont="1">
      <alignment horizontal="center" readingOrder="0" shrinkToFit="0" vertical="center" wrapText="1"/>
    </xf>
    <xf borderId="3" fillId="6" fontId="6" numFmtId="3" xfId="0" applyAlignment="1" applyBorder="1" applyFont="1" applyNumberFormat="1">
      <alignment horizontal="center" readingOrder="0" shrinkToFit="0" vertical="center" wrapText="1"/>
    </xf>
    <xf borderId="3" fillId="4" fontId="6" numFmtId="164" xfId="0" applyAlignment="1" applyBorder="1" applyFont="1" applyNumberFormat="1">
      <alignment horizontal="center" shrinkToFit="0" vertical="center" wrapText="1"/>
    </xf>
    <xf borderId="3" fillId="4" fontId="6" numFmtId="9" xfId="0" applyAlignment="1" applyBorder="1" applyFont="1" applyNumberFormat="1">
      <alignment horizontal="center" shrinkToFit="0" vertical="center" wrapText="1"/>
    </xf>
    <xf borderId="3" fillId="4" fontId="6" numFmtId="165" xfId="0" applyAlignment="1" applyBorder="1" applyFont="1" applyNumberFormat="1">
      <alignment horizontal="center" readingOrder="0" shrinkToFit="0" vertical="center" wrapText="1"/>
    </xf>
    <xf borderId="0" fillId="0" fontId="10" numFmtId="0" xfId="0" applyFont="1"/>
    <xf borderId="3" fillId="6" fontId="6" numFmtId="165" xfId="0" applyAlignment="1" applyBorder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left" readingOrder="0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bottom" wrapText="0"/>
    </xf>
    <xf borderId="1" fillId="7" fontId="11" numFmtId="0" xfId="0" applyAlignment="1" applyBorder="1" applyFill="1" applyFont="1">
      <alignment horizontal="center" shrinkToFit="0" vertical="center" wrapText="1"/>
    </xf>
    <xf borderId="4" fillId="7" fontId="12" numFmtId="3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1" fillId="4" fontId="13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14" numFmtId="3" xfId="0" applyAlignment="1" applyBorder="1" applyFont="1" applyNumberForma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15" numFmtId="3" xfId="0" applyAlignment="1" applyBorder="1" applyFont="1" applyNumberFormat="1">
      <alignment horizontal="center" shrinkToFit="0" vertical="center" wrapText="1"/>
    </xf>
    <xf borderId="1" fillId="7" fontId="16" numFmtId="3" xfId="0" applyAlignment="1" applyBorder="1" applyFont="1" applyNumberForma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6" fillId="9" fontId="18" numFmtId="3" xfId="0" applyAlignment="1" applyBorder="1" applyFill="1" applyFont="1" applyNumberFormat="1">
      <alignment horizontal="center" shrinkToFit="0" vertical="center" wrapText="1"/>
    </xf>
    <xf borderId="7" fillId="0" fontId="2" numFmtId="0" xfId="0" applyBorder="1" applyFont="1"/>
    <xf borderId="1" fillId="3" fontId="19" numFmtId="0" xfId="0" applyAlignment="1" applyBorder="1" applyFont="1">
      <alignment horizontal="center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3" fillId="4" fontId="6" numFmtId="166" xfId="0" applyAlignment="1" applyBorder="1" applyFont="1" applyNumberFormat="1">
      <alignment horizontal="center" shrinkToFit="0" vertical="center" wrapText="1"/>
    </xf>
    <xf borderId="3" fillId="4" fontId="9" numFmtId="3" xfId="0" applyAlignment="1" applyBorder="1" applyFont="1" applyNumberFormat="1">
      <alignment horizontal="center" shrinkToFit="0" vertical="center" wrapText="1"/>
    </xf>
    <xf borderId="3" fillId="6" fontId="6" numFmtId="166" xfId="0" applyAlignment="1" applyBorder="1" applyFont="1" applyNumberFormat="1">
      <alignment horizontal="center" shrinkToFit="0" vertical="center" wrapText="1"/>
    </xf>
    <xf borderId="3" fillId="6" fontId="9" numFmtId="3" xfId="0" applyAlignment="1" applyBorder="1" applyFont="1" applyNumberForma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3" fillId="4" fontId="6" numFmtId="167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shrinkToFit="0" vertical="bottom" wrapText="0"/>
    </xf>
    <xf borderId="3" fillId="6" fontId="6" numFmtId="167" xfId="0" applyAlignment="1" applyBorder="1" applyFont="1" applyNumberFormat="1">
      <alignment horizontal="center" shrinkToFit="0" vertical="center" wrapText="1"/>
    </xf>
    <xf borderId="8" fillId="9" fontId="19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5" fontId="22" numFmtId="0" xfId="0" applyAlignment="1" applyBorder="1" applyFont="1">
      <alignment horizontal="center" shrinkToFit="0" vertical="center" wrapText="1"/>
    </xf>
    <xf borderId="1" fillId="8" fontId="23" numFmtId="0" xfId="0" applyAlignment="1" applyBorder="1" applyFont="1">
      <alignment horizontal="center" shrinkToFit="0" vertical="center" wrapText="1"/>
    </xf>
    <xf borderId="1" fillId="7" fontId="24" numFmtId="0" xfId="0" applyAlignment="1" applyBorder="1" applyFont="1">
      <alignment horizontal="center" shrinkToFit="0" vertical="center" wrapText="1"/>
    </xf>
    <xf borderId="1" fillId="7" fontId="24" numFmtId="3" xfId="0" applyAlignment="1" applyBorder="1" applyFont="1" applyNumberFormat="1">
      <alignment horizontal="center" shrinkToFit="0" vertical="center" wrapText="1"/>
    </xf>
    <xf borderId="1" fillId="5" fontId="22" numFmtId="3" xfId="0" applyAlignment="1" applyBorder="1" applyFont="1" applyNumberFormat="1">
      <alignment horizontal="center" shrinkToFit="0" vertical="center" wrapText="1"/>
    </xf>
    <xf borderId="1" fillId="8" fontId="23" numFmtId="3" xfId="0" applyAlignment="1" applyBorder="1" applyFont="1" applyNumberFormat="1">
      <alignment horizontal="center" shrinkToFit="0" vertical="center" wrapText="1"/>
    </xf>
    <xf borderId="3" fillId="6" fontId="25" numFmtId="0" xfId="0" applyAlignment="1" applyBorder="1" applyFont="1">
      <alignment horizontal="center" shrinkToFit="0" vertical="center" wrapText="1"/>
    </xf>
    <xf borderId="3" fillId="4" fontId="25" numFmtId="0" xfId="0" applyAlignment="1" applyBorder="1" applyFont="1">
      <alignment horizontal="center" shrinkToFit="0" vertical="center" wrapText="1"/>
    </xf>
    <xf borderId="3" fillId="4" fontId="25" numFmtId="0" xfId="0" applyAlignment="1" applyBorder="1" applyFont="1">
      <alignment horizontal="left" shrinkToFit="0" vertical="center" wrapText="1"/>
    </xf>
    <xf borderId="3" fillId="4" fontId="26" numFmtId="0" xfId="0" applyAlignment="1" applyBorder="1" applyFont="1">
      <alignment horizontal="left" shrinkToFit="0" vertical="center" wrapText="1"/>
    </xf>
    <xf borderId="3" fillId="6" fontId="25" numFmtId="0" xfId="0" applyAlignment="1" applyBorder="1" applyFont="1">
      <alignment horizontal="left" shrinkToFit="0" vertical="center" wrapText="1"/>
    </xf>
    <xf borderId="3" fillId="6" fontId="26" numFmtId="0" xfId="0" applyAlignment="1" applyBorder="1" applyFont="1">
      <alignment horizontal="left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6">
    <dxf>
      <font>
        <b/>
        <color rgb="FF065F46"/>
        <name val="Arial"/>
      </font>
      <fill>
        <patternFill patternType="solid">
          <fgColor rgb="FFD1FAE5"/>
          <bgColor rgb="FFD1FAE5"/>
        </patternFill>
      </fill>
      <border/>
    </dxf>
    <dxf>
      <font>
        <b/>
        <color rgb="FF991B1B"/>
        <name val="Arial"/>
      </font>
      <fill>
        <patternFill patternType="solid">
          <fgColor rgb="FFFEE2E2"/>
          <bgColor rgb="FFFEE2E2"/>
        </patternFill>
      </fill>
      <border/>
    </dxf>
    <dxf>
      <font>
        <color rgb="FF854D0E"/>
        <name val="Arial"/>
      </font>
      <fill>
        <patternFill patternType="solid">
          <fgColor rgb="FFFEF9C3"/>
          <bgColor rgb="FFFEF9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sz val="30.0"/>
        <color rgb="FF991B1B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color rgb="FF854D0E"/>
        <name val="Arial"/>
      </font>
      <fill>
        <patternFill patternType="solid">
          <fgColor rgb="FFFEF9C3"/>
          <bgColor rgb="FFFEF9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13.0"/>
    <col customWidth="1" min="4" max="4" width="30.0"/>
    <col customWidth="1" min="5" max="5" width="12.0"/>
    <col customWidth="1" min="6" max="6" width="16.0"/>
    <col customWidth="1" min="7" max="7" width="8.0"/>
    <col customWidth="1" min="8" max="8" width="18.0"/>
    <col customWidth="1" min="9" max="9" width="13.0"/>
    <col customWidth="1" min="10" max="10" width="18.0"/>
    <col customWidth="1" min="11" max="11" width="12.0"/>
    <col customWidth="1" min="12" max="12" width="13.0"/>
    <col customWidth="1" min="13" max="13" width="12.0"/>
    <col customWidth="1" min="14" max="15" width="13.0"/>
    <col customWidth="1" min="16" max="16" width="14.0"/>
    <col customWidth="1" min="17" max="18" width="13.0"/>
    <col customWidth="1" min="19" max="19" width="30.14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ht="15.0" customHeight="1">
      <c r="A4" s="5">
        <f t="shared" ref="A4:A103" si="1">IF(D4&lt;&gt;"",ROW()-3,"")</f>
        <v>1</v>
      </c>
      <c r="B4" s="6" t="s">
        <v>21</v>
      </c>
      <c r="C4" s="7">
        <v>46165.0</v>
      </c>
      <c r="D4" s="8" t="s">
        <v>22</v>
      </c>
      <c r="E4" s="9" t="s">
        <v>23</v>
      </c>
      <c r="F4" s="9" t="s">
        <v>24</v>
      </c>
      <c r="G4" s="9">
        <v>100.0</v>
      </c>
      <c r="H4" s="9" t="s">
        <v>25</v>
      </c>
      <c r="I4" s="9" t="s">
        <v>26</v>
      </c>
      <c r="J4" s="6" t="s">
        <v>27</v>
      </c>
      <c r="K4" s="10" t="s">
        <v>28</v>
      </c>
      <c r="L4" s="11">
        <v>230000.0</v>
      </c>
      <c r="M4" s="11"/>
      <c r="N4" s="12">
        <f>IF(L4&lt;&gt;"",L4+IF(M4&lt;&gt;"",M4,0),"")</f>
        <v>230000</v>
      </c>
      <c r="O4" s="13">
        <v>46195.0</v>
      </c>
      <c r="P4" s="14" t="s">
        <v>29</v>
      </c>
      <c r="Q4" s="15">
        <v>230000.0</v>
      </c>
      <c r="R4" s="16">
        <f t="shared" ref="R4:R5" si="2">IF(Q4&lt;&gt;"",Q4-IF(N4&lt;&gt;"",N4,0),"")</f>
        <v>0</v>
      </c>
      <c r="S4" s="16">
        <f t="shared" ref="S4:S103" si="3">IF(Q4&lt;&gt;"",Q4-IF(N4&lt;&gt;"",N4,0),"")</f>
        <v>0</v>
      </c>
    </row>
    <row r="5">
      <c r="A5" s="17">
        <f t="shared" si="1"/>
        <v>2</v>
      </c>
      <c r="B5" s="18" t="s">
        <v>21</v>
      </c>
      <c r="C5" s="19">
        <v>46161.0</v>
      </c>
      <c r="D5" s="20" t="s">
        <v>30</v>
      </c>
      <c r="E5" s="18" t="s">
        <v>31</v>
      </c>
      <c r="F5" s="18" t="s">
        <v>32</v>
      </c>
      <c r="G5" s="18"/>
      <c r="H5" s="18" t="s">
        <v>33</v>
      </c>
      <c r="I5" s="21" t="s">
        <v>34</v>
      </c>
      <c r="J5" s="18" t="s">
        <v>35</v>
      </c>
      <c r="K5" s="21" t="s">
        <v>28</v>
      </c>
      <c r="L5" s="22">
        <v>50000.0</v>
      </c>
      <c r="M5" s="22"/>
      <c r="N5" s="12">
        <v>50000.0</v>
      </c>
      <c r="O5" s="23">
        <v>46185.0</v>
      </c>
      <c r="P5" s="21" t="s">
        <v>36</v>
      </c>
      <c r="Q5" s="22">
        <v>100000.0</v>
      </c>
      <c r="R5" s="16">
        <f t="shared" si="2"/>
        <v>50000</v>
      </c>
      <c r="S5" s="16">
        <f t="shared" si="3"/>
        <v>50000</v>
      </c>
    </row>
    <row r="6" ht="15.0" customHeight="1">
      <c r="A6" s="5">
        <f t="shared" si="1"/>
        <v>3</v>
      </c>
      <c r="B6" s="6" t="s">
        <v>21</v>
      </c>
      <c r="C6" s="19">
        <v>46161.0</v>
      </c>
      <c r="D6" s="24" t="s">
        <v>37</v>
      </c>
      <c r="E6" s="6" t="s">
        <v>38</v>
      </c>
      <c r="F6" s="6" t="s">
        <v>39</v>
      </c>
      <c r="G6" s="6"/>
      <c r="H6" s="6" t="s">
        <v>40</v>
      </c>
      <c r="I6" s="10" t="s">
        <v>34</v>
      </c>
      <c r="J6" s="18" t="s">
        <v>35</v>
      </c>
      <c r="K6" s="10" t="s">
        <v>28</v>
      </c>
      <c r="L6" s="11">
        <v>50000.0</v>
      </c>
      <c r="M6" s="11"/>
      <c r="N6" s="12">
        <f t="shared" ref="N6:N103" si="4">IF(L6&lt;&gt;"",L6+IF(M6&lt;&gt;"",M6,0),"")</f>
        <v>50000</v>
      </c>
      <c r="O6" s="13">
        <v>46194.0</v>
      </c>
      <c r="P6" s="14" t="s">
        <v>29</v>
      </c>
      <c r="Q6" s="15">
        <v>70000.0</v>
      </c>
      <c r="R6" s="16"/>
      <c r="S6" s="16">
        <f t="shared" si="3"/>
        <v>20000</v>
      </c>
    </row>
    <row r="7" ht="15.0" customHeight="1">
      <c r="A7" s="17">
        <f t="shared" si="1"/>
        <v>4</v>
      </c>
      <c r="B7" s="18" t="s">
        <v>21</v>
      </c>
      <c r="C7" s="23">
        <v>46170.0</v>
      </c>
      <c r="D7" s="20" t="s">
        <v>41</v>
      </c>
      <c r="E7" s="18" t="s">
        <v>42</v>
      </c>
      <c r="F7" s="18" t="s">
        <v>43</v>
      </c>
      <c r="G7" s="25">
        <v>0.87</v>
      </c>
      <c r="H7" s="18" t="s">
        <v>44</v>
      </c>
      <c r="I7" s="21" t="s">
        <v>26</v>
      </c>
      <c r="J7" s="18" t="s">
        <v>45</v>
      </c>
      <c r="K7" s="21" t="s">
        <v>28</v>
      </c>
      <c r="L7" s="22">
        <v>250000.0</v>
      </c>
      <c r="M7" s="22"/>
      <c r="N7" s="12">
        <f t="shared" si="4"/>
        <v>250000</v>
      </c>
      <c r="O7" s="26">
        <v>46197.0</v>
      </c>
      <c r="P7" s="27" t="s">
        <v>29</v>
      </c>
      <c r="Q7" s="28">
        <v>370000.0</v>
      </c>
      <c r="R7" s="16"/>
      <c r="S7" s="16">
        <f t="shared" si="3"/>
        <v>120000</v>
      </c>
    </row>
    <row r="8" ht="15.0" customHeight="1">
      <c r="A8" s="5">
        <f t="shared" si="1"/>
        <v>5</v>
      </c>
      <c r="B8" s="6" t="s">
        <v>21</v>
      </c>
      <c r="C8" s="29">
        <v>46170.0</v>
      </c>
      <c r="D8" s="24" t="s">
        <v>46</v>
      </c>
      <c r="E8" s="18" t="s">
        <v>42</v>
      </c>
      <c r="F8" s="18" t="s">
        <v>47</v>
      </c>
      <c r="G8" s="30">
        <v>0.86</v>
      </c>
      <c r="H8" s="6"/>
      <c r="I8" s="10" t="s">
        <v>34</v>
      </c>
      <c r="J8" s="18" t="s">
        <v>45</v>
      </c>
      <c r="K8" s="10" t="s">
        <v>28</v>
      </c>
      <c r="L8" s="11">
        <v>20000.0</v>
      </c>
      <c r="M8" s="11"/>
      <c r="N8" s="12">
        <f t="shared" si="4"/>
        <v>20000</v>
      </c>
      <c r="O8" s="29"/>
      <c r="P8" s="10"/>
      <c r="Q8" s="11"/>
      <c r="R8" s="16" t="str">
        <f>IF(Q8&lt;&gt;"",Q8-IF(N8&lt;&gt;"",N8,0),"")</f>
        <v/>
      </c>
      <c r="S8" s="16" t="str">
        <f t="shared" si="3"/>
        <v/>
      </c>
    </row>
    <row r="9" ht="15.0" customHeight="1">
      <c r="A9" s="17">
        <f t="shared" si="1"/>
        <v>6</v>
      </c>
      <c r="B9" s="18" t="s">
        <v>21</v>
      </c>
      <c r="C9" s="29">
        <v>46170.0</v>
      </c>
      <c r="D9" s="20" t="s">
        <v>48</v>
      </c>
      <c r="E9" s="18" t="s">
        <v>49</v>
      </c>
      <c r="F9" s="18" t="s">
        <v>50</v>
      </c>
      <c r="G9" s="25">
        <v>1.0</v>
      </c>
      <c r="H9" s="18" t="s">
        <v>51</v>
      </c>
      <c r="I9" s="21" t="s">
        <v>26</v>
      </c>
      <c r="J9" s="18" t="s">
        <v>52</v>
      </c>
      <c r="K9" s="21" t="s">
        <v>28</v>
      </c>
      <c r="L9" s="22">
        <v>80000.0</v>
      </c>
      <c r="M9" s="22"/>
      <c r="N9" s="12">
        <f t="shared" si="4"/>
        <v>80000</v>
      </c>
      <c r="O9" s="26">
        <v>46213.0</v>
      </c>
      <c r="P9" s="27" t="s">
        <v>36</v>
      </c>
      <c r="Q9" s="28">
        <v>150000.0</v>
      </c>
      <c r="R9" s="16"/>
      <c r="S9" s="16">
        <f t="shared" si="3"/>
        <v>70000</v>
      </c>
    </row>
    <row r="10">
      <c r="A10" s="5">
        <f t="shared" si="1"/>
        <v>7</v>
      </c>
      <c r="B10" s="6" t="s">
        <v>53</v>
      </c>
      <c r="C10" s="29">
        <v>46125.0</v>
      </c>
      <c r="D10" s="24" t="s">
        <v>54</v>
      </c>
      <c r="E10" s="6" t="s">
        <v>55</v>
      </c>
      <c r="F10" s="6" t="s">
        <v>56</v>
      </c>
      <c r="G10" s="6"/>
      <c r="H10" s="6"/>
      <c r="I10" s="10" t="s">
        <v>26</v>
      </c>
      <c r="J10" s="6" t="s">
        <v>52</v>
      </c>
      <c r="K10" s="10" t="s">
        <v>28</v>
      </c>
      <c r="L10" s="11">
        <v>850000.0</v>
      </c>
      <c r="M10" s="11"/>
      <c r="N10" s="12">
        <f t="shared" si="4"/>
        <v>850000</v>
      </c>
      <c r="O10" s="29"/>
      <c r="P10" s="10"/>
      <c r="Q10" s="11"/>
      <c r="R10" s="16"/>
      <c r="S10" s="16" t="str">
        <f t="shared" si="3"/>
        <v/>
      </c>
    </row>
    <row r="11">
      <c r="A11" s="17">
        <f t="shared" si="1"/>
        <v>8</v>
      </c>
      <c r="B11" s="18" t="s">
        <v>53</v>
      </c>
      <c r="C11" s="23">
        <v>46182.0</v>
      </c>
      <c r="D11" s="20" t="s">
        <v>57</v>
      </c>
      <c r="E11" s="18" t="s">
        <v>58</v>
      </c>
      <c r="F11" s="18" t="s">
        <v>59</v>
      </c>
      <c r="G11" s="18"/>
      <c r="H11" s="18"/>
      <c r="I11" s="21" t="s">
        <v>26</v>
      </c>
      <c r="J11" s="18" t="s">
        <v>60</v>
      </c>
      <c r="K11" s="21" t="s">
        <v>28</v>
      </c>
      <c r="L11" s="22">
        <v>480000.0</v>
      </c>
      <c r="M11" s="22"/>
      <c r="N11" s="12">
        <f t="shared" si="4"/>
        <v>480000</v>
      </c>
      <c r="O11" s="23"/>
      <c r="P11" s="21"/>
      <c r="Q11" s="22"/>
      <c r="R11" s="16"/>
      <c r="S11" s="16" t="str">
        <f t="shared" si="3"/>
        <v/>
      </c>
    </row>
    <row r="12" ht="15.0" customHeight="1">
      <c r="A12" s="5">
        <f t="shared" si="1"/>
        <v>9</v>
      </c>
      <c r="B12" s="6" t="s">
        <v>53</v>
      </c>
      <c r="C12" s="29">
        <v>46183.0</v>
      </c>
      <c r="D12" s="24" t="s">
        <v>61</v>
      </c>
      <c r="E12" s="6" t="s">
        <v>58</v>
      </c>
      <c r="F12" s="6" t="s">
        <v>62</v>
      </c>
      <c r="G12" s="6"/>
      <c r="H12" s="6"/>
      <c r="I12" s="10" t="s">
        <v>63</v>
      </c>
      <c r="J12" s="6" t="s">
        <v>64</v>
      </c>
      <c r="K12" s="10" t="s">
        <v>28</v>
      </c>
      <c r="L12" s="11">
        <v>204000.0</v>
      </c>
      <c r="M12" s="11"/>
      <c r="N12" s="12">
        <f t="shared" si="4"/>
        <v>204000</v>
      </c>
      <c r="O12" s="31">
        <v>46185.0</v>
      </c>
      <c r="P12" s="14" t="s">
        <v>29</v>
      </c>
      <c r="Q12" s="15">
        <v>300000.0</v>
      </c>
      <c r="R12" s="16"/>
      <c r="S12" s="16">
        <f t="shared" si="3"/>
        <v>96000</v>
      </c>
    </row>
    <row r="13">
      <c r="A13" s="17">
        <f t="shared" si="1"/>
        <v>10</v>
      </c>
      <c r="B13" s="18" t="s">
        <v>53</v>
      </c>
      <c r="C13" s="23">
        <v>46181.0</v>
      </c>
      <c r="D13" s="20" t="s">
        <v>65</v>
      </c>
      <c r="E13" s="18" t="s">
        <v>66</v>
      </c>
      <c r="F13" s="18" t="s">
        <v>67</v>
      </c>
      <c r="G13" s="18"/>
      <c r="H13" s="18"/>
      <c r="I13" s="21" t="s">
        <v>34</v>
      </c>
      <c r="J13" s="18" t="s">
        <v>68</v>
      </c>
      <c r="K13" s="21" t="s">
        <v>28</v>
      </c>
      <c r="L13" s="22">
        <v>50000.0</v>
      </c>
      <c r="M13" s="22"/>
      <c r="N13" s="12">
        <f t="shared" si="4"/>
        <v>50000</v>
      </c>
      <c r="O13" s="23"/>
      <c r="P13" s="21"/>
      <c r="Q13" s="22"/>
      <c r="R13" s="16"/>
      <c r="S13" s="16" t="str">
        <f t="shared" si="3"/>
        <v/>
      </c>
    </row>
    <row r="14" ht="15.0" customHeight="1">
      <c r="A14" s="5">
        <f t="shared" si="1"/>
        <v>11</v>
      </c>
      <c r="B14" s="6" t="s">
        <v>69</v>
      </c>
      <c r="C14" s="29">
        <v>46170.0</v>
      </c>
      <c r="D14" s="24" t="s">
        <v>70</v>
      </c>
      <c r="E14" s="6" t="s">
        <v>42</v>
      </c>
      <c r="F14" s="6" t="s">
        <v>71</v>
      </c>
      <c r="G14" s="6">
        <v>100.0</v>
      </c>
      <c r="H14" s="6"/>
      <c r="I14" s="10" t="s">
        <v>26</v>
      </c>
      <c r="J14" s="6" t="s">
        <v>72</v>
      </c>
      <c r="K14" s="10" t="s">
        <v>73</v>
      </c>
      <c r="L14" s="11">
        <v>50000.0</v>
      </c>
      <c r="M14" s="11"/>
      <c r="N14" s="12">
        <f t="shared" si="4"/>
        <v>50000</v>
      </c>
      <c r="O14" s="29"/>
      <c r="P14" s="10"/>
      <c r="Q14" s="11"/>
      <c r="R14" s="16"/>
      <c r="S14" s="16" t="str">
        <f t="shared" si="3"/>
        <v/>
      </c>
    </row>
    <row r="15">
      <c r="A15" s="17">
        <f t="shared" si="1"/>
        <v>12</v>
      </c>
      <c r="B15" s="18" t="s">
        <v>74</v>
      </c>
      <c r="C15" s="23">
        <v>46147.0</v>
      </c>
      <c r="D15" s="20" t="s">
        <v>75</v>
      </c>
      <c r="E15" s="18" t="s">
        <v>58</v>
      </c>
      <c r="F15" s="18" t="s">
        <v>76</v>
      </c>
      <c r="G15" s="18"/>
      <c r="I15" s="10" t="s">
        <v>77</v>
      </c>
      <c r="J15" s="18" t="s">
        <v>78</v>
      </c>
      <c r="K15" s="21" t="s">
        <v>73</v>
      </c>
      <c r="L15" s="22">
        <v>300000.0</v>
      </c>
      <c r="M15" s="22"/>
      <c r="N15" s="12">
        <f t="shared" si="4"/>
        <v>300000</v>
      </c>
      <c r="O15" s="23"/>
      <c r="P15" s="21"/>
      <c r="Q15" s="22"/>
      <c r="R15" s="16"/>
      <c r="S15" s="16" t="str">
        <f t="shared" si="3"/>
        <v/>
      </c>
    </row>
    <row r="16" ht="15.0" customHeight="1">
      <c r="A16" s="5">
        <f t="shared" si="1"/>
        <v>13</v>
      </c>
      <c r="B16" s="6" t="s">
        <v>74</v>
      </c>
      <c r="C16" s="29">
        <v>46101.0</v>
      </c>
      <c r="D16" s="24" t="s">
        <v>79</v>
      </c>
      <c r="E16" s="6" t="s">
        <v>80</v>
      </c>
      <c r="F16" s="6" t="s">
        <v>81</v>
      </c>
      <c r="G16" s="6"/>
      <c r="H16" s="6"/>
      <c r="I16" s="32" t="s">
        <v>63</v>
      </c>
      <c r="J16" s="6" t="s">
        <v>82</v>
      </c>
      <c r="K16" s="10" t="s">
        <v>28</v>
      </c>
      <c r="L16" s="11">
        <v>320000.0</v>
      </c>
      <c r="M16" s="11"/>
      <c r="N16" s="12">
        <f t="shared" si="4"/>
        <v>320000</v>
      </c>
      <c r="O16" s="29"/>
      <c r="P16" s="10"/>
      <c r="Q16" s="11"/>
      <c r="R16" s="16"/>
      <c r="S16" s="16" t="str">
        <f t="shared" si="3"/>
        <v/>
      </c>
    </row>
    <row r="17" ht="15.0" customHeight="1">
      <c r="A17" s="17">
        <f t="shared" si="1"/>
        <v>14</v>
      </c>
      <c r="B17" s="18" t="s">
        <v>74</v>
      </c>
      <c r="C17" s="33">
        <v>46185.0</v>
      </c>
      <c r="D17" s="20" t="s">
        <v>83</v>
      </c>
      <c r="E17" s="18" t="s">
        <v>84</v>
      </c>
      <c r="F17" s="18" t="s">
        <v>81</v>
      </c>
      <c r="G17" s="18"/>
      <c r="H17" s="18"/>
      <c r="I17" s="21" t="s">
        <v>63</v>
      </c>
      <c r="J17" s="18" t="s">
        <v>85</v>
      </c>
      <c r="K17" s="21" t="s">
        <v>28</v>
      </c>
      <c r="L17" s="22">
        <v>210000.0</v>
      </c>
      <c r="M17" s="22"/>
      <c r="N17" s="12">
        <f t="shared" si="4"/>
        <v>210000</v>
      </c>
      <c r="O17" s="26">
        <v>46193.0</v>
      </c>
      <c r="P17" s="27" t="s">
        <v>36</v>
      </c>
      <c r="Q17" s="28">
        <v>361000.0</v>
      </c>
      <c r="R17" s="16"/>
      <c r="S17" s="16">
        <f t="shared" si="3"/>
        <v>151000</v>
      </c>
    </row>
    <row r="18" ht="15.0" customHeight="1">
      <c r="A18" s="5">
        <f t="shared" si="1"/>
        <v>15</v>
      </c>
      <c r="B18" s="34" t="s">
        <v>21</v>
      </c>
      <c r="C18" s="31">
        <v>46190.0</v>
      </c>
      <c r="D18" s="35" t="s">
        <v>86</v>
      </c>
      <c r="E18" s="34" t="s">
        <v>31</v>
      </c>
      <c r="F18" s="34" t="s">
        <v>87</v>
      </c>
      <c r="G18" s="34">
        <v>100.0</v>
      </c>
      <c r="H18" s="6"/>
      <c r="I18" s="14" t="s">
        <v>26</v>
      </c>
      <c r="J18" s="34" t="s">
        <v>88</v>
      </c>
      <c r="K18" s="14" t="s">
        <v>28</v>
      </c>
      <c r="L18" s="15">
        <v>100000.0</v>
      </c>
      <c r="M18" s="11"/>
      <c r="N18" s="12">
        <f t="shared" si="4"/>
        <v>100000</v>
      </c>
      <c r="O18" s="13">
        <v>46190.0</v>
      </c>
      <c r="P18" s="14" t="s">
        <v>36</v>
      </c>
      <c r="Q18" s="15">
        <v>150000.0</v>
      </c>
      <c r="R18" s="16"/>
      <c r="S18" s="16">
        <f t="shared" si="3"/>
        <v>50000</v>
      </c>
    </row>
    <row r="19" ht="15.0" customHeight="1">
      <c r="A19" s="17">
        <f t="shared" si="1"/>
        <v>16</v>
      </c>
      <c r="B19" s="36" t="s">
        <v>74</v>
      </c>
      <c r="C19" s="26">
        <v>46194.0</v>
      </c>
      <c r="D19" s="37" t="s">
        <v>89</v>
      </c>
      <c r="E19" s="36" t="s">
        <v>66</v>
      </c>
      <c r="F19" s="36" t="s">
        <v>90</v>
      </c>
      <c r="G19" s="18"/>
      <c r="H19" s="18"/>
      <c r="I19" s="27" t="s">
        <v>26</v>
      </c>
      <c r="J19" s="36" t="s">
        <v>91</v>
      </c>
      <c r="K19" s="27" t="s">
        <v>92</v>
      </c>
      <c r="L19" s="28">
        <v>80000.0</v>
      </c>
      <c r="M19" s="22"/>
      <c r="N19" s="12">
        <f t="shared" si="4"/>
        <v>80000</v>
      </c>
      <c r="O19" s="23"/>
      <c r="P19" s="21"/>
      <c r="Q19" s="22"/>
      <c r="R19" s="16"/>
      <c r="S19" s="16" t="str">
        <f t="shared" si="3"/>
        <v/>
      </c>
    </row>
    <row r="20" ht="15.0" customHeight="1">
      <c r="A20" s="5">
        <f t="shared" si="1"/>
        <v>17</v>
      </c>
      <c r="B20" s="34" t="s">
        <v>21</v>
      </c>
      <c r="C20" s="13">
        <v>46200.0</v>
      </c>
      <c r="D20" s="35" t="s">
        <v>93</v>
      </c>
      <c r="E20" s="34" t="s">
        <v>38</v>
      </c>
      <c r="F20" s="34" t="s">
        <v>94</v>
      </c>
      <c r="G20" s="6"/>
      <c r="H20" s="6"/>
      <c r="I20" s="14" t="s">
        <v>26</v>
      </c>
      <c r="J20" s="34" t="s">
        <v>95</v>
      </c>
      <c r="K20" s="14" t="s">
        <v>92</v>
      </c>
      <c r="L20" s="15">
        <v>40000.0</v>
      </c>
      <c r="M20" s="11"/>
      <c r="N20" s="12">
        <f t="shared" si="4"/>
        <v>40000</v>
      </c>
      <c r="O20" s="13">
        <v>46203.0</v>
      </c>
      <c r="P20" s="14" t="s">
        <v>36</v>
      </c>
      <c r="Q20" s="15">
        <v>80000.0</v>
      </c>
      <c r="R20" s="16"/>
      <c r="S20" s="16">
        <f t="shared" si="3"/>
        <v>40000</v>
      </c>
    </row>
    <row r="21" ht="15.0" customHeight="1">
      <c r="A21" s="17">
        <f t="shared" si="1"/>
        <v>18</v>
      </c>
      <c r="B21" s="36" t="s">
        <v>21</v>
      </c>
      <c r="C21" s="26">
        <v>46195.0</v>
      </c>
      <c r="D21" s="37" t="s">
        <v>96</v>
      </c>
      <c r="E21" s="36" t="s">
        <v>42</v>
      </c>
      <c r="F21" s="36" t="s">
        <v>97</v>
      </c>
      <c r="G21" s="36">
        <v>89.0</v>
      </c>
      <c r="H21" s="18"/>
      <c r="I21" s="27" t="s">
        <v>63</v>
      </c>
      <c r="J21" s="36" t="s">
        <v>98</v>
      </c>
      <c r="K21" s="27" t="s">
        <v>99</v>
      </c>
      <c r="L21" s="28">
        <v>230000.0</v>
      </c>
      <c r="M21" s="22"/>
      <c r="N21" s="12">
        <f t="shared" si="4"/>
        <v>230000</v>
      </c>
      <c r="O21" s="26">
        <v>46215.0</v>
      </c>
      <c r="P21" s="27" t="s">
        <v>36</v>
      </c>
      <c r="Q21" s="28">
        <v>200000.0</v>
      </c>
      <c r="R21" s="16"/>
      <c r="S21" s="16">
        <f t="shared" si="3"/>
        <v>-30000</v>
      </c>
    </row>
    <row r="22" ht="15.0" customHeight="1">
      <c r="A22" s="5">
        <f t="shared" si="1"/>
        <v>19</v>
      </c>
      <c r="B22" s="34" t="s">
        <v>21</v>
      </c>
      <c r="C22" s="13">
        <v>46198.0</v>
      </c>
      <c r="D22" s="35" t="s">
        <v>100</v>
      </c>
      <c r="E22" s="34" t="s">
        <v>101</v>
      </c>
      <c r="F22" s="34" t="s">
        <v>102</v>
      </c>
      <c r="G22" s="6"/>
      <c r="H22" s="6"/>
      <c r="I22" s="14" t="s">
        <v>63</v>
      </c>
      <c r="J22" s="34" t="s">
        <v>103</v>
      </c>
      <c r="K22" s="14" t="s">
        <v>92</v>
      </c>
      <c r="L22" s="15">
        <v>60000.0</v>
      </c>
      <c r="M22" s="11"/>
      <c r="N22" s="12">
        <f t="shared" si="4"/>
        <v>60000</v>
      </c>
      <c r="O22" s="29"/>
      <c r="P22" s="10"/>
      <c r="Q22" s="11"/>
      <c r="R22" s="16"/>
      <c r="S22" s="16" t="str">
        <f t="shared" si="3"/>
        <v/>
      </c>
    </row>
    <row r="23" ht="15.0" customHeight="1">
      <c r="A23" s="17" t="str">
        <f t="shared" si="1"/>
        <v/>
      </c>
      <c r="B23" s="18"/>
      <c r="C23" s="23"/>
      <c r="D23" s="20"/>
      <c r="E23" s="18"/>
      <c r="F23" s="18"/>
      <c r="G23" s="18"/>
      <c r="H23" s="18"/>
      <c r="I23" s="21"/>
      <c r="J23" s="18"/>
      <c r="K23" s="21"/>
      <c r="L23" s="22"/>
      <c r="M23" s="22"/>
      <c r="N23" s="12" t="str">
        <f t="shared" si="4"/>
        <v/>
      </c>
      <c r="O23" s="23"/>
      <c r="P23" s="21"/>
      <c r="Q23" s="22"/>
      <c r="R23" s="16"/>
      <c r="S23" s="16" t="str">
        <f t="shared" si="3"/>
        <v/>
      </c>
    </row>
    <row r="24" ht="15.0" customHeight="1">
      <c r="A24" s="5" t="str">
        <f t="shared" si="1"/>
        <v/>
      </c>
      <c r="B24" s="6"/>
      <c r="C24" s="29"/>
      <c r="D24" s="24"/>
      <c r="E24" s="6"/>
      <c r="F24" s="6"/>
      <c r="G24" s="6"/>
      <c r="H24" s="6"/>
      <c r="I24" s="10"/>
      <c r="J24" s="6"/>
      <c r="K24" s="10"/>
      <c r="L24" s="11"/>
      <c r="M24" s="11"/>
      <c r="N24" s="12" t="str">
        <f t="shared" si="4"/>
        <v/>
      </c>
      <c r="O24" s="29"/>
      <c r="P24" s="10"/>
      <c r="Q24" s="11"/>
      <c r="R24" s="16"/>
      <c r="S24" s="16" t="str">
        <f t="shared" si="3"/>
        <v/>
      </c>
    </row>
    <row r="25" ht="15.0" customHeight="1">
      <c r="A25" s="17" t="str">
        <f t="shared" si="1"/>
        <v/>
      </c>
      <c r="B25" s="18"/>
      <c r="C25" s="23"/>
      <c r="D25" s="20"/>
      <c r="E25" s="18"/>
      <c r="F25" s="18"/>
      <c r="G25" s="18"/>
      <c r="H25" s="18"/>
      <c r="I25" s="21"/>
      <c r="J25" s="18"/>
      <c r="K25" s="21"/>
      <c r="L25" s="22"/>
      <c r="M25" s="22"/>
      <c r="N25" s="12" t="str">
        <f t="shared" si="4"/>
        <v/>
      </c>
      <c r="O25" s="23"/>
      <c r="P25" s="21"/>
      <c r="Q25" s="22"/>
      <c r="R25" s="16"/>
      <c r="S25" s="16" t="str">
        <f t="shared" si="3"/>
        <v/>
      </c>
    </row>
    <row r="26" ht="15.0" customHeight="1">
      <c r="A26" s="5" t="str">
        <f t="shared" si="1"/>
        <v/>
      </c>
      <c r="B26" s="6"/>
      <c r="C26" s="29"/>
      <c r="D26" s="24"/>
      <c r="E26" s="6"/>
      <c r="F26" s="6"/>
      <c r="G26" s="6"/>
      <c r="H26" s="6"/>
      <c r="I26" s="10"/>
      <c r="J26" s="6"/>
      <c r="K26" s="10"/>
      <c r="L26" s="11"/>
      <c r="M26" s="11"/>
      <c r="N26" s="12" t="str">
        <f t="shared" si="4"/>
        <v/>
      </c>
      <c r="O26" s="29"/>
      <c r="P26" s="10"/>
      <c r="Q26" s="11"/>
      <c r="R26" s="16"/>
      <c r="S26" s="16" t="str">
        <f t="shared" si="3"/>
        <v/>
      </c>
    </row>
    <row r="27" ht="15.0" customHeight="1">
      <c r="A27" s="17" t="str">
        <f t="shared" si="1"/>
        <v/>
      </c>
      <c r="B27" s="18"/>
      <c r="C27" s="23"/>
      <c r="D27" s="20"/>
      <c r="E27" s="18"/>
      <c r="F27" s="18"/>
      <c r="G27" s="18"/>
      <c r="H27" s="18"/>
      <c r="I27" s="21"/>
      <c r="J27" s="18"/>
      <c r="K27" s="21"/>
      <c r="L27" s="22"/>
      <c r="M27" s="22"/>
      <c r="N27" s="12" t="str">
        <f t="shared" si="4"/>
        <v/>
      </c>
      <c r="O27" s="23"/>
      <c r="P27" s="21"/>
      <c r="Q27" s="22"/>
      <c r="R27" s="16"/>
      <c r="S27" s="16" t="str">
        <f t="shared" si="3"/>
        <v/>
      </c>
    </row>
    <row r="28" ht="15.0" customHeight="1">
      <c r="A28" s="5" t="str">
        <f t="shared" si="1"/>
        <v/>
      </c>
      <c r="B28" s="6"/>
      <c r="C28" s="29"/>
      <c r="D28" s="24"/>
      <c r="E28" s="6"/>
      <c r="F28" s="6"/>
      <c r="G28" s="6"/>
      <c r="H28" s="6"/>
      <c r="I28" s="10"/>
      <c r="J28" s="6"/>
      <c r="K28" s="10"/>
      <c r="L28" s="11"/>
      <c r="M28" s="11"/>
      <c r="N28" s="12" t="str">
        <f t="shared" si="4"/>
        <v/>
      </c>
      <c r="O28" s="29"/>
      <c r="P28" s="10"/>
      <c r="Q28" s="11"/>
      <c r="R28" s="16"/>
      <c r="S28" s="16" t="str">
        <f t="shared" si="3"/>
        <v/>
      </c>
    </row>
    <row r="29" ht="15.0" customHeight="1">
      <c r="A29" s="17" t="str">
        <f t="shared" si="1"/>
        <v/>
      </c>
      <c r="B29" s="18"/>
      <c r="C29" s="23"/>
      <c r="D29" s="20"/>
      <c r="E29" s="18"/>
      <c r="F29" s="18"/>
      <c r="G29" s="18"/>
      <c r="H29" s="18"/>
      <c r="I29" s="21"/>
      <c r="J29" s="18"/>
      <c r="K29" s="21"/>
      <c r="L29" s="22"/>
      <c r="M29" s="22"/>
      <c r="N29" s="12" t="str">
        <f t="shared" si="4"/>
        <v/>
      </c>
      <c r="O29" s="23"/>
      <c r="P29" s="21"/>
      <c r="Q29" s="22"/>
      <c r="R29" s="16"/>
      <c r="S29" s="16" t="str">
        <f t="shared" si="3"/>
        <v/>
      </c>
    </row>
    <row r="30" ht="15.0" customHeight="1">
      <c r="A30" s="5" t="str">
        <f t="shared" si="1"/>
        <v/>
      </c>
      <c r="B30" s="6"/>
      <c r="C30" s="29"/>
      <c r="D30" s="24"/>
      <c r="E30" s="6"/>
      <c r="F30" s="6"/>
      <c r="G30" s="6"/>
      <c r="H30" s="6"/>
      <c r="I30" s="10"/>
      <c r="J30" s="6"/>
      <c r="K30" s="10"/>
      <c r="L30" s="11"/>
      <c r="M30" s="11"/>
      <c r="N30" s="12" t="str">
        <f t="shared" si="4"/>
        <v/>
      </c>
      <c r="O30" s="29"/>
      <c r="P30" s="10"/>
      <c r="Q30" s="11"/>
      <c r="R30" s="16"/>
      <c r="S30" s="16" t="str">
        <f t="shared" si="3"/>
        <v/>
      </c>
    </row>
    <row r="31" ht="15.0" customHeight="1">
      <c r="A31" s="17" t="str">
        <f t="shared" si="1"/>
        <v/>
      </c>
      <c r="B31" s="18"/>
      <c r="C31" s="23"/>
      <c r="D31" s="20"/>
      <c r="E31" s="18"/>
      <c r="F31" s="18"/>
      <c r="G31" s="18"/>
      <c r="H31" s="18"/>
      <c r="I31" s="21"/>
      <c r="J31" s="18"/>
      <c r="K31" s="21"/>
      <c r="L31" s="22"/>
      <c r="M31" s="22"/>
      <c r="N31" s="12" t="str">
        <f t="shared" si="4"/>
        <v/>
      </c>
      <c r="O31" s="23"/>
      <c r="P31" s="21"/>
      <c r="Q31" s="22"/>
      <c r="R31" s="16"/>
      <c r="S31" s="16" t="str">
        <f t="shared" si="3"/>
        <v/>
      </c>
    </row>
    <row r="32" ht="15.0" customHeight="1">
      <c r="A32" s="5" t="str">
        <f t="shared" si="1"/>
        <v/>
      </c>
      <c r="B32" s="6"/>
      <c r="C32" s="29"/>
      <c r="D32" s="24"/>
      <c r="E32" s="6"/>
      <c r="F32" s="6"/>
      <c r="G32" s="6"/>
      <c r="H32" s="6"/>
      <c r="I32" s="10"/>
      <c r="J32" s="6"/>
      <c r="K32" s="10"/>
      <c r="L32" s="11"/>
      <c r="M32" s="11"/>
      <c r="N32" s="12" t="str">
        <f t="shared" si="4"/>
        <v/>
      </c>
      <c r="O32" s="29"/>
      <c r="P32" s="10"/>
      <c r="Q32" s="11"/>
      <c r="R32" s="16"/>
      <c r="S32" s="16" t="str">
        <f t="shared" si="3"/>
        <v/>
      </c>
    </row>
    <row r="33" ht="15.0" customHeight="1">
      <c r="A33" s="17" t="str">
        <f t="shared" si="1"/>
        <v/>
      </c>
      <c r="B33" s="18"/>
      <c r="C33" s="23"/>
      <c r="D33" s="20"/>
      <c r="E33" s="18"/>
      <c r="F33" s="18"/>
      <c r="G33" s="18"/>
      <c r="H33" s="18"/>
      <c r="I33" s="21"/>
      <c r="J33" s="18"/>
      <c r="K33" s="21"/>
      <c r="L33" s="22"/>
      <c r="M33" s="22"/>
      <c r="N33" s="12" t="str">
        <f t="shared" si="4"/>
        <v/>
      </c>
      <c r="O33" s="23"/>
      <c r="P33" s="21"/>
      <c r="Q33" s="22"/>
      <c r="R33" s="16"/>
      <c r="S33" s="16" t="str">
        <f t="shared" si="3"/>
        <v/>
      </c>
    </row>
    <row r="34" ht="15.0" customHeight="1">
      <c r="A34" s="5" t="str">
        <f t="shared" si="1"/>
        <v/>
      </c>
      <c r="B34" s="6"/>
      <c r="C34" s="29"/>
      <c r="D34" s="24"/>
      <c r="E34" s="6"/>
      <c r="F34" s="6"/>
      <c r="G34" s="6"/>
      <c r="H34" s="6"/>
      <c r="I34" s="10"/>
      <c r="J34" s="6"/>
      <c r="K34" s="10"/>
      <c r="L34" s="11"/>
      <c r="M34" s="11"/>
      <c r="N34" s="12" t="str">
        <f t="shared" si="4"/>
        <v/>
      </c>
      <c r="O34" s="29"/>
      <c r="P34" s="10"/>
      <c r="Q34" s="11"/>
      <c r="R34" s="16"/>
      <c r="S34" s="16" t="str">
        <f t="shared" si="3"/>
        <v/>
      </c>
    </row>
    <row r="35" ht="15.0" customHeight="1">
      <c r="A35" s="17" t="str">
        <f t="shared" si="1"/>
        <v/>
      </c>
      <c r="B35" s="18"/>
      <c r="C35" s="23"/>
      <c r="D35" s="20"/>
      <c r="E35" s="18"/>
      <c r="F35" s="18"/>
      <c r="G35" s="18"/>
      <c r="H35" s="18"/>
      <c r="I35" s="21"/>
      <c r="J35" s="18"/>
      <c r="K35" s="21"/>
      <c r="L35" s="22"/>
      <c r="M35" s="22"/>
      <c r="N35" s="12" t="str">
        <f t="shared" si="4"/>
        <v/>
      </c>
      <c r="O35" s="23"/>
      <c r="P35" s="21"/>
      <c r="Q35" s="22"/>
      <c r="R35" s="16"/>
      <c r="S35" s="16" t="str">
        <f t="shared" si="3"/>
        <v/>
      </c>
    </row>
    <row r="36" ht="15.0" customHeight="1">
      <c r="A36" s="5" t="str">
        <f t="shared" si="1"/>
        <v/>
      </c>
      <c r="B36" s="6"/>
      <c r="C36" s="29"/>
      <c r="D36" s="24"/>
      <c r="E36" s="6"/>
      <c r="F36" s="6"/>
      <c r="G36" s="6"/>
      <c r="H36" s="6"/>
      <c r="I36" s="10"/>
      <c r="J36" s="6"/>
      <c r="K36" s="10"/>
      <c r="L36" s="11"/>
      <c r="M36" s="11"/>
      <c r="N36" s="12" t="str">
        <f t="shared" si="4"/>
        <v/>
      </c>
      <c r="O36" s="29"/>
      <c r="P36" s="10"/>
      <c r="Q36" s="11"/>
      <c r="R36" s="16"/>
      <c r="S36" s="16" t="str">
        <f t="shared" si="3"/>
        <v/>
      </c>
    </row>
    <row r="37" ht="15.0" customHeight="1">
      <c r="A37" s="17" t="str">
        <f t="shared" si="1"/>
        <v/>
      </c>
      <c r="B37" s="18"/>
      <c r="C37" s="23"/>
      <c r="D37" s="20"/>
      <c r="E37" s="18"/>
      <c r="F37" s="18"/>
      <c r="G37" s="18"/>
      <c r="H37" s="18"/>
      <c r="I37" s="21"/>
      <c r="J37" s="18"/>
      <c r="K37" s="21"/>
      <c r="L37" s="22"/>
      <c r="M37" s="22"/>
      <c r="N37" s="12" t="str">
        <f t="shared" si="4"/>
        <v/>
      </c>
      <c r="O37" s="23"/>
      <c r="P37" s="21"/>
      <c r="Q37" s="22"/>
      <c r="R37" s="16"/>
      <c r="S37" s="16" t="str">
        <f t="shared" si="3"/>
        <v/>
      </c>
    </row>
    <row r="38" ht="15.0" customHeight="1">
      <c r="A38" s="5" t="str">
        <f t="shared" si="1"/>
        <v/>
      </c>
      <c r="B38" s="6"/>
      <c r="C38" s="29"/>
      <c r="D38" s="24"/>
      <c r="E38" s="6"/>
      <c r="F38" s="6"/>
      <c r="G38" s="6"/>
      <c r="H38" s="6"/>
      <c r="I38" s="10"/>
      <c r="J38" s="6"/>
      <c r="K38" s="10"/>
      <c r="L38" s="11"/>
      <c r="M38" s="11"/>
      <c r="N38" s="12" t="str">
        <f t="shared" si="4"/>
        <v/>
      </c>
      <c r="O38" s="29"/>
      <c r="P38" s="10"/>
      <c r="Q38" s="11"/>
      <c r="R38" s="16"/>
      <c r="S38" s="16" t="str">
        <f t="shared" si="3"/>
        <v/>
      </c>
    </row>
    <row r="39" ht="15.0" customHeight="1">
      <c r="A39" s="17" t="str">
        <f t="shared" si="1"/>
        <v/>
      </c>
      <c r="B39" s="18"/>
      <c r="C39" s="23"/>
      <c r="D39" s="20"/>
      <c r="E39" s="18"/>
      <c r="F39" s="18"/>
      <c r="G39" s="18"/>
      <c r="H39" s="18"/>
      <c r="I39" s="21"/>
      <c r="J39" s="18"/>
      <c r="K39" s="21"/>
      <c r="L39" s="22"/>
      <c r="M39" s="22"/>
      <c r="N39" s="12" t="str">
        <f t="shared" si="4"/>
        <v/>
      </c>
      <c r="O39" s="23"/>
      <c r="P39" s="21"/>
      <c r="Q39" s="22"/>
      <c r="R39" s="16"/>
      <c r="S39" s="16" t="str">
        <f t="shared" si="3"/>
        <v/>
      </c>
    </row>
    <row r="40" ht="15.0" customHeight="1">
      <c r="A40" s="5" t="str">
        <f t="shared" si="1"/>
        <v/>
      </c>
      <c r="B40" s="6"/>
      <c r="C40" s="29"/>
      <c r="D40" s="24"/>
      <c r="E40" s="6"/>
      <c r="F40" s="6"/>
      <c r="G40" s="6"/>
      <c r="H40" s="6"/>
      <c r="I40" s="10"/>
      <c r="J40" s="6"/>
      <c r="K40" s="10"/>
      <c r="L40" s="11"/>
      <c r="M40" s="11"/>
      <c r="N40" s="12" t="str">
        <f t="shared" si="4"/>
        <v/>
      </c>
      <c r="O40" s="29"/>
      <c r="P40" s="10"/>
      <c r="Q40" s="11"/>
      <c r="R40" s="16"/>
      <c r="S40" s="16" t="str">
        <f t="shared" si="3"/>
        <v/>
      </c>
    </row>
    <row r="41" ht="15.0" customHeight="1">
      <c r="A41" s="17" t="str">
        <f t="shared" si="1"/>
        <v/>
      </c>
      <c r="B41" s="18"/>
      <c r="C41" s="23"/>
      <c r="D41" s="20"/>
      <c r="E41" s="18"/>
      <c r="F41" s="18"/>
      <c r="G41" s="18"/>
      <c r="H41" s="18"/>
      <c r="I41" s="21"/>
      <c r="J41" s="18"/>
      <c r="K41" s="21"/>
      <c r="L41" s="22"/>
      <c r="M41" s="22"/>
      <c r="N41" s="12" t="str">
        <f t="shared" si="4"/>
        <v/>
      </c>
      <c r="O41" s="23"/>
      <c r="P41" s="21"/>
      <c r="Q41" s="22"/>
      <c r="R41" s="16"/>
      <c r="S41" s="16" t="str">
        <f t="shared" si="3"/>
        <v/>
      </c>
    </row>
    <row r="42" ht="15.0" customHeight="1">
      <c r="A42" s="5" t="str">
        <f t="shared" si="1"/>
        <v/>
      </c>
      <c r="B42" s="6"/>
      <c r="C42" s="29"/>
      <c r="D42" s="24"/>
      <c r="E42" s="6"/>
      <c r="F42" s="6"/>
      <c r="G42" s="6"/>
      <c r="H42" s="6"/>
      <c r="I42" s="10"/>
      <c r="J42" s="6"/>
      <c r="K42" s="10"/>
      <c r="L42" s="11"/>
      <c r="M42" s="11"/>
      <c r="N42" s="12" t="str">
        <f t="shared" si="4"/>
        <v/>
      </c>
      <c r="O42" s="29"/>
      <c r="P42" s="10"/>
      <c r="Q42" s="11"/>
      <c r="R42" s="16"/>
      <c r="S42" s="16" t="str">
        <f t="shared" si="3"/>
        <v/>
      </c>
    </row>
    <row r="43" ht="15.0" customHeight="1">
      <c r="A43" s="17" t="str">
        <f t="shared" si="1"/>
        <v/>
      </c>
      <c r="B43" s="18"/>
      <c r="C43" s="23"/>
      <c r="D43" s="20"/>
      <c r="E43" s="18"/>
      <c r="F43" s="18"/>
      <c r="G43" s="18"/>
      <c r="H43" s="18"/>
      <c r="I43" s="21"/>
      <c r="J43" s="18"/>
      <c r="K43" s="21"/>
      <c r="L43" s="22"/>
      <c r="M43" s="22"/>
      <c r="N43" s="12" t="str">
        <f t="shared" si="4"/>
        <v/>
      </c>
      <c r="O43" s="23"/>
      <c r="P43" s="21"/>
      <c r="Q43" s="22"/>
      <c r="R43" s="16"/>
      <c r="S43" s="16" t="str">
        <f t="shared" si="3"/>
        <v/>
      </c>
    </row>
    <row r="44" ht="15.0" customHeight="1">
      <c r="A44" s="5" t="str">
        <f t="shared" si="1"/>
        <v/>
      </c>
      <c r="B44" s="6"/>
      <c r="C44" s="29"/>
      <c r="D44" s="24"/>
      <c r="E44" s="6"/>
      <c r="F44" s="6"/>
      <c r="G44" s="6"/>
      <c r="H44" s="6"/>
      <c r="I44" s="10"/>
      <c r="J44" s="6"/>
      <c r="K44" s="10"/>
      <c r="L44" s="11"/>
      <c r="M44" s="11"/>
      <c r="N44" s="12" t="str">
        <f t="shared" si="4"/>
        <v/>
      </c>
      <c r="O44" s="29"/>
      <c r="P44" s="10"/>
      <c r="Q44" s="11"/>
      <c r="R44" s="16"/>
      <c r="S44" s="16" t="str">
        <f t="shared" si="3"/>
        <v/>
      </c>
    </row>
    <row r="45" ht="15.0" customHeight="1">
      <c r="A45" s="17" t="str">
        <f t="shared" si="1"/>
        <v/>
      </c>
      <c r="B45" s="18"/>
      <c r="C45" s="23"/>
      <c r="D45" s="20"/>
      <c r="E45" s="18"/>
      <c r="F45" s="18"/>
      <c r="G45" s="18"/>
      <c r="H45" s="18"/>
      <c r="I45" s="21"/>
      <c r="J45" s="18"/>
      <c r="K45" s="21"/>
      <c r="L45" s="22"/>
      <c r="M45" s="22"/>
      <c r="N45" s="12" t="str">
        <f t="shared" si="4"/>
        <v/>
      </c>
      <c r="O45" s="23"/>
      <c r="P45" s="21"/>
      <c r="Q45" s="22"/>
      <c r="R45" s="16"/>
      <c r="S45" s="16" t="str">
        <f t="shared" si="3"/>
        <v/>
      </c>
    </row>
    <row r="46" ht="15.0" customHeight="1">
      <c r="A46" s="5" t="str">
        <f t="shared" si="1"/>
        <v/>
      </c>
      <c r="B46" s="6"/>
      <c r="C46" s="29"/>
      <c r="D46" s="24"/>
      <c r="E46" s="6"/>
      <c r="F46" s="6"/>
      <c r="G46" s="6"/>
      <c r="H46" s="6"/>
      <c r="I46" s="10"/>
      <c r="J46" s="6"/>
      <c r="K46" s="10"/>
      <c r="L46" s="11"/>
      <c r="M46" s="11"/>
      <c r="N46" s="12" t="str">
        <f t="shared" si="4"/>
        <v/>
      </c>
      <c r="O46" s="29"/>
      <c r="P46" s="10"/>
      <c r="Q46" s="11"/>
      <c r="R46" s="16"/>
      <c r="S46" s="16" t="str">
        <f t="shared" si="3"/>
        <v/>
      </c>
    </row>
    <row r="47" ht="15.0" customHeight="1">
      <c r="A47" s="17" t="str">
        <f t="shared" si="1"/>
        <v/>
      </c>
      <c r="B47" s="18"/>
      <c r="C47" s="23"/>
      <c r="D47" s="20"/>
      <c r="E47" s="18"/>
      <c r="F47" s="18"/>
      <c r="G47" s="18"/>
      <c r="H47" s="18"/>
      <c r="I47" s="21"/>
      <c r="J47" s="18"/>
      <c r="K47" s="21"/>
      <c r="L47" s="22"/>
      <c r="M47" s="22"/>
      <c r="N47" s="12" t="str">
        <f t="shared" si="4"/>
        <v/>
      </c>
      <c r="O47" s="23"/>
      <c r="P47" s="21"/>
      <c r="Q47" s="22"/>
      <c r="R47" s="16"/>
      <c r="S47" s="16" t="str">
        <f t="shared" si="3"/>
        <v/>
      </c>
    </row>
    <row r="48" ht="15.0" customHeight="1">
      <c r="A48" s="5" t="str">
        <f t="shared" si="1"/>
        <v/>
      </c>
      <c r="B48" s="6"/>
      <c r="C48" s="29"/>
      <c r="D48" s="24"/>
      <c r="E48" s="6"/>
      <c r="F48" s="6"/>
      <c r="G48" s="6"/>
      <c r="H48" s="6"/>
      <c r="I48" s="10"/>
      <c r="J48" s="6"/>
      <c r="K48" s="10"/>
      <c r="L48" s="11"/>
      <c r="M48" s="11"/>
      <c r="N48" s="12" t="str">
        <f t="shared" si="4"/>
        <v/>
      </c>
      <c r="O48" s="29"/>
      <c r="P48" s="10"/>
      <c r="Q48" s="11"/>
      <c r="R48" s="16"/>
      <c r="S48" s="16" t="str">
        <f t="shared" si="3"/>
        <v/>
      </c>
    </row>
    <row r="49" ht="15.0" customHeight="1">
      <c r="A49" s="17" t="str">
        <f t="shared" si="1"/>
        <v/>
      </c>
      <c r="B49" s="18"/>
      <c r="C49" s="23"/>
      <c r="D49" s="20"/>
      <c r="E49" s="18"/>
      <c r="F49" s="18"/>
      <c r="G49" s="18"/>
      <c r="H49" s="18"/>
      <c r="I49" s="21"/>
      <c r="J49" s="18"/>
      <c r="K49" s="21"/>
      <c r="L49" s="22"/>
      <c r="M49" s="22"/>
      <c r="N49" s="12" t="str">
        <f t="shared" si="4"/>
        <v/>
      </c>
      <c r="O49" s="23"/>
      <c r="P49" s="21"/>
      <c r="Q49" s="22"/>
      <c r="R49" s="16"/>
      <c r="S49" s="16" t="str">
        <f t="shared" si="3"/>
        <v/>
      </c>
    </row>
    <row r="50" ht="15.0" customHeight="1">
      <c r="A50" s="5" t="str">
        <f t="shared" si="1"/>
        <v/>
      </c>
      <c r="B50" s="6"/>
      <c r="C50" s="29"/>
      <c r="D50" s="24"/>
      <c r="E50" s="6"/>
      <c r="F50" s="6"/>
      <c r="G50" s="6"/>
      <c r="H50" s="6"/>
      <c r="I50" s="10"/>
      <c r="J50" s="6"/>
      <c r="K50" s="10"/>
      <c r="L50" s="11"/>
      <c r="M50" s="11"/>
      <c r="N50" s="12" t="str">
        <f t="shared" si="4"/>
        <v/>
      </c>
      <c r="O50" s="29"/>
      <c r="P50" s="10"/>
      <c r="Q50" s="11"/>
      <c r="R50" s="16"/>
      <c r="S50" s="16" t="str">
        <f t="shared" si="3"/>
        <v/>
      </c>
    </row>
    <row r="51" ht="15.0" customHeight="1">
      <c r="A51" s="17" t="str">
        <f t="shared" si="1"/>
        <v/>
      </c>
      <c r="B51" s="18"/>
      <c r="C51" s="23"/>
      <c r="D51" s="20"/>
      <c r="E51" s="18"/>
      <c r="F51" s="18"/>
      <c r="G51" s="18"/>
      <c r="H51" s="18"/>
      <c r="I51" s="21"/>
      <c r="J51" s="18"/>
      <c r="K51" s="21"/>
      <c r="L51" s="22"/>
      <c r="M51" s="22"/>
      <c r="N51" s="12" t="str">
        <f t="shared" si="4"/>
        <v/>
      </c>
      <c r="O51" s="23"/>
      <c r="P51" s="21"/>
      <c r="Q51" s="22"/>
      <c r="R51" s="16"/>
      <c r="S51" s="16" t="str">
        <f t="shared" si="3"/>
        <v/>
      </c>
    </row>
    <row r="52" ht="15.0" customHeight="1">
      <c r="A52" s="5" t="str">
        <f t="shared" si="1"/>
        <v/>
      </c>
      <c r="B52" s="6"/>
      <c r="C52" s="29"/>
      <c r="D52" s="24"/>
      <c r="E52" s="6"/>
      <c r="F52" s="6"/>
      <c r="G52" s="6"/>
      <c r="H52" s="6"/>
      <c r="I52" s="10"/>
      <c r="J52" s="6"/>
      <c r="K52" s="10"/>
      <c r="L52" s="11"/>
      <c r="M52" s="11"/>
      <c r="N52" s="12" t="str">
        <f t="shared" si="4"/>
        <v/>
      </c>
      <c r="O52" s="29"/>
      <c r="P52" s="10"/>
      <c r="Q52" s="11"/>
      <c r="R52" s="16"/>
      <c r="S52" s="16" t="str">
        <f t="shared" si="3"/>
        <v/>
      </c>
    </row>
    <row r="53" ht="15.0" customHeight="1">
      <c r="A53" s="17" t="str">
        <f t="shared" si="1"/>
        <v/>
      </c>
      <c r="B53" s="18"/>
      <c r="C53" s="23"/>
      <c r="D53" s="20"/>
      <c r="E53" s="18"/>
      <c r="F53" s="18"/>
      <c r="G53" s="18"/>
      <c r="H53" s="18"/>
      <c r="I53" s="21"/>
      <c r="J53" s="18"/>
      <c r="K53" s="21"/>
      <c r="L53" s="22"/>
      <c r="M53" s="22"/>
      <c r="N53" s="12" t="str">
        <f t="shared" si="4"/>
        <v/>
      </c>
      <c r="O53" s="23"/>
      <c r="P53" s="21"/>
      <c r="Q53" s="22"/>
      <c r="R53" s="16"/>
      <c r="S53" s="16" t="str">
        <f t="shared" si="3"/>
        <v/>
      </c>
    </row>
    <row r="54" ht="15.0" customHeight="1">
      <c r="A54" s="5" t="str">
        <f t="shared" si="1"/>
        <v/>
      </c>
      <c r="B54" s="6"/>
      <c r="C54" s="29"/>
      <c r="D54" s="24"/>
      <c r="E54" s="6"/>
      <c r="F54" s="6"/>
      <c r="G54" s="6"/>
      <c r="H54" s="6"/>
      <c r="I54" s="10"/>
      <c r="J54" s="6"/>
      <c r="K54" s="10"/>
      <c r="L54" s="11"/>
      <c r="M54" s="11"/>
      <c r="N54" s="12" t="str">
        <f t="shared" si="4"/>
        <v/>
      </c>
      <c r="O54" s="29"/>
      <c r="P54" s="10"/>
      <c r="Q54" s="11"/>
      <c r="R54" s="16"/>
      <c r="S54" s="16" t="str">
        <f t="shared" si="3"/>
        <v/>
      </c>
    </row>
    <row r="55" ht="15.0" customHeight="1">
      <c r="A55" s="17" t="str">
        <f t="shared" si="1"/>
        <v/>
      </c>
      <c r="B55" s="18"/>
      <c r="C55" s="23"/>
      <c r="D55" s="20"/>
      <c r="E55" s="18"/>
      <c r="F55" s="18"/>
      <c r="G55" s="18"/>
      <c r="H55" s="18"/>
      <c r="I55" s="21"/>
      <c r="J55" s="18"/>
      <c r="K55" s="21"/>
      <c r="L55" s="22"/>
      <c r="M55" s="22"/>
      <c r="N55" s="12" t="str">
        <f t="shared" si="4"/>
        <v/>
      </c>
      <c r="O55" s="23"/>
      <c r="P55" s="21"/>
      <c r="Q55" s="22"/>
      <c r="R55" s="16"/>
      <c r="S55" s="16" t="str">
        <f t="shared" si="3"/>
        <v/>
      </c>
    </row>
    <row r="56" ht="15.0" customHeight="1">
      <c r="A56" s="5" t="str">
        <f t="shared" si="1"/>
        <v/>
      </c>
      <c r="B56" s="6"/>
      <c r="C56" s="29"/>
      <c r="D56" s="24"/>
      <c r="E56" s="6"/>
      <c r="F56" s="6"/>
      <c r="G56" s="6"/>
      <c r="H56" s="6"/>
      <c r="I56" s="10"/>
      <c r="J56" s="6"/>
      <c r="K56" s="10"/>
      <c r="L56" s="11"/>
      <c r="M56" s="11"/>
      <c r="N56" s="12" t="str">
        <f t="shared" si="4"/>
        <v/>
      </c>
      <c r="O56" s="29"/>
      <c r="P56" s="10"/>
      <c r="Q56" s="11"/>
      <c r="R56" s="16"/>
      <c r="S56" s="16" t="str">
        <f t="shared" si="3"/>
        <v/>
      </c>
    </row>
    <row r="57" ht="15.0" customHeight="1">
      <c r="A57" s="17" t="str">
        <f t="shared" si="1"/>
        <v/>
      </c>
      <c r="B57" s="18"/>
      <c r="C57" s="23"/>
      <c r="D57" s="20"/>
      <c r="E57" s="18"/>
      <c r="F57" s="18"/>
      <c r="G57" s="18"/>
      <c r="H57" s="18"/>
      <c r="I57" s="21"/>
      <c r="J57" s="18"/>
      <c r="K57" s="21"/>
      <c r="L57" s="22"/>
      <c r="M57" s="22"/>
      <c r="N57" s="12" t="str">
        <f t="shared" si="4"/>
        <v/>
      </c>
      <c r="O57" s="23"/>
      <c r="P57" s="21"/>
      <c r="Q57" s="22"/>
      <c r="R57" s="16"/>
      <c r="S57" s="16" t="str">
        <f t="shared" si="3"/>
        <v/>
      </c>
    </row>
    <row r="58" ht="15.0" customHeight="1">
      <c r="A58" s="5" t="str">
        <f t="shared" si="1"/>
        <v/>
      </c>
      <c r="B58" s="6"/>
      <c r="C58" s="29"/>
      <c r="D58" s="24"/>
      <c r="E58" s="6"/>
      <c r="F58" s="6"/>
      <c r="G58" s="6"/>
      <c r="H58" s="6"/>
      <c r="I58" s="10"/>
      <c r="J58" s="6"/>
      <c r="K58" s="10"/>
      <c r="L58" s="11"/>
      <c r="M58" s="11"/>
      <c r="N58" s="12" t="str">
        <f t="shared" si="4"/>
        <v/>
      </c>
      <c r="O58" s="29"/>
      <c r="P58" s="10"/>
      <c r="Q58" s="11"/>
      <c r="R58" s="16"/>
      <c r="S58" s="16" t="str">
        <f t="shared" si="3"/>
        <v/>
      </c>
    </row>
    <row r="59" ht="15.0" customHeight="1">
      <c r="A59" s="17" t="str">
        <f t="shared" si="1"/>
        <v/>
      </c>
      <c r="B59" s="18"/>
      <c r="C59" s="23"/>
      <c r="D59" s="20"/>
      <c r="E59" s="18"/>
      <c r="F59" s="18"/>
      <c r="G59" s="18"/>
      <c r="H59" s="18"/>
      <c r="I59" s="21"/>
      <c r="J59" s="18"/>
      <c r="K59" s="21"/>
      <c r="L59" s="22"/>
      <c r="M59" s="22"/>
      <c r="N59" s="12" t="str">
        <f t="shared" si="4"/>
        <v/>
      </c>
      <c r="O59" s="23"/>
      <c r="P59" s="21"/>
      <c r="Q59" s="22"/>
      <c r="R59" s="16"/>
      <c r="S59" s="16" t="str">
        <f t="shared" si="3"/>
        <v/>
      </c>
    </row>
    <row r="60" ht="15.0" customHeight="1">
      <c r="A60" s="5" t="str">
        <f t="shared" si="1"/>
        <v/>
      </c>
      <c r="B60" s="6"/>
      <c r="C60" s="29"/>
      <c r="D60" s="24"/>
      <c r="E60" s="6"/>
      <c r="F60" s="6"/>
      <c r="G60" s="6"/>
      <c r="H60" s="6"/>
      <c r="I60" s="10"/>
      <c r="J60" s="6"/>
      <c r="K60" s="10"/>
      <c r="L60" s="11"/>
      <c r="M60" s="11"/>
      <c r="N60" s="12" t="str">
        <f t="shared" si="4"/>
        <v/>
      </c>
      <c r="O60" s="29"/>
      <c r="P60" s="10"/>
      <c r="Q60" s="11"/>
      <c r="R60" s="16"/>
      <c r="S60" s="16" t="str">
        <f t="shared" si="3"/>
        <v/>
      </c>
    </row>
    <row r="61" ht="15.0" customHeight="1">
      <c r="A61" s="17" t="str">
        <f t="shared" si="1"/>
        <v/>
      </c>
      <c r="B61" s="18"/>
      <c r="C61" s="23"/>
      <c r="D61" s="20"/>
      <c r="E61" s="18"/>
      <c r="F61" s="18"/>
      <c r="G61" s="18"/>
      <c r="H61" s="18"/>
      <c r="I61" s="21"/>
      <c r="J61" s="18"/>
      <c r="K61" s="21"/>
      <c r="L61" s="22"/>
      <c r="M61" s="22"/>
      <c r="N61" s="12" t="str">
        <f t="shared" si="4"/>
        <v/>
      </c>
      <c r="O61" s="23"/>
      <c r="P61" s="21"/>
      <c r="Q61" s="22"/>
      <c r="R61" s="16"/>
      <c r="S61" s="16" t="str">
        <f t="shared" si="3"/>
        <v/>
      </c>
    </row>
    <row r="62" ht="15.0" customHeight="1">
      <c r="A62" s="5" t="str">
        <f t="shared" si="1"/>
        <v/>
      </c>
      <c r="B62" s="6"/>
      <c r="C62" s="29"/>
      <c r="D62" s="24"/>
      <c r="E62" s="6"/>
      <c r="F62" s="6"/>
      <c r="G62" s="6"/>
      <c r="H62" s="6"/>
      <c r="I62" s="10"/>
      <c r="J62" s="6"/>
      <c r="K62" s="10"/>
      <c r="L62" s="11"/>
      <c r="M62" s="11"/>
      <c r="N62" s="12" t="str">
        <f t="shared" si="4"/>
        <v/>
      </c>
      <c r="O62" s="29"/>
      <c r="P62" s="10"/>
      <c r="Q62" s="11"/>
      <c r="R62" s="16"/>
      <c r="S62" s="16" t="str">
        <f t="shared" si="3"/>
        <v/>
      </c>
    </row>
    <row r="63" ht="15.0" customHeight="1">
      <c r="A63" s="17" t="str">
        <f t="shared" si="1"/>
        <v/>
      </c>
      <c r="B63" s="18"/>
      <c r="C63" s="23"/>
      <c r="D63" s="20"/>
      <c r="E63" s="18"/>
      <c r="F63" s="18"/>
      <c r="G63" s="18"/>
      <c r="H63" s="18"/>
      <c r="I63" s="21"/>
      <c r="J63" s="18"/>
      <c r="K63" s="21"/>
      <c r="L63" s="22"/>
      <c r="M63" s="22"/>
      <c r="N63" s="12" t="str">
        <f t="shared" si="4"/>
        <v/>
      </c>
      <c r="O63" s="23"/>
      <c r="P63" s="21"/>
      <c r="Q63" s="22"/>
      <c r="R63" s="16"/>
      <c r="S63" s="16" t="str">
        <f t="shared" si="3"/>
        <v/>
      </c>
    </row>
    <row r="64" ht="15.0" customHeight="1">
      <c r="A64" s="5" t="str">
        <f t="shared" si="1"/>
        <v/>
      </c>
      <c r="B64" s="6"/>
      <c r="C64" s="29"/>
      <c r="D64" s="24"/>
      <c r="E64" s="6"/>
      <c r="F64" s="6"/>
      <c r="G64" s="6"/>
      <c r="H64" s="6"/>
      <c r="I64" s="10"/>
      <c r="J64" s="6"/>
      <c r="K64" s="10"/>
      <c r="L64" s="11"/>
      <c r="M64" s="11"/>
      <c r="N64" s="12" t="str">
        <f t="shared" si="4"/>
        <v/>
      </c>
      <c r="O64" s="29"/>
      <c r="P64" s="10"/>
      <c r="Q64" s="11"/>
      <c r="R64" s="16"/>
      <c r="S64" s="16" t="str">
        <f t="shared" si="3"/>
        <v/>
      </c>
    </row>
    <row r="65" ht="15.0" customHeight="1">
      <c r="A65" s="17" t="str">
        <f t="shared" si="1"/>
        <v/>
      </c>
      <c r="B65" s="18"/>
      <c r="C65" s="23"/>
      <c r="D65" s="20"/>
      <c r="E65" s="18"/>
      <c r="F65" s="18"/>
      <c r="G65" s="18"/>
      <c r="H65" s="18"/>
      <c r="I65" s="21"/>
      <c r="J65" s="18"/>
      <c r="K65" s="21"/>
      <c r="L65" s="22"/>
      <c r="M65" s="22"/>
      <c r="N65" s="12" t="str">
        <f t="shared" si="4"/>
        <v/>
      </c>
      <c r="O65" s="23"/>
      <c r="P65" s="21"/>
      <c r="Q65" s="22"/>
      <c r="R65" s="16"/>
      <c r="S65" s="16" t="str">
        <f t="shared" si="3"/>
        <v/>
      </c>
    </row>
    <row r="66" ht="15.0" customHeight="1">
      <c r="A66" s="5" t="str">
        <f t="shared" si="1"/>
        <v/>
      </c>
      <c r="B66" s="6"/>
      <c r="C66" s="29"/>
      <c r="D66" s="24"/>
      <c r="E66" s="6"/>
      <c r="F66" s="6"/>
      <c r="G66" s="6"/>
      <c r="H66" s="6"/>
      <c r="I66" s="10"/>
      <c r="J66" s="6"/>
      <c r="K66" s="10"/>
      <c r="L66" s="11"/>
      <c r="M66" s="11"/>
      <c r="N66" s="12" t="str">
        <f t="shared" si="4"/>
        <v/>
      </c>
      <c r="O66" s="29"/>
      <c r="P66" s="10"/>
      <c r="Q66" s="11"/>
      <c r="R66" s="16"/>
      <c r="S66" s="16" t="str">
        <f t="shared" si="3"/>
        <v/>
      </c>
    </row>
    <row r="67" ht="15.0" customHeight="1">
      <c r="A67" s="17" t="str">
        <f t="shared" si="1"/>
        <v/>
      </c>
      <c r="B67" s="18"/>
      <c r="C67" s="23"/>
      <c r="D67" s="20"/>
      <c r="E67" s="18"/>
      <c r="F67" s="18"/>
      <c r="G67" s="18"/>
      <c r="H67" s="18"/>
      <c r="I67" s="21"/>
      <c r="J67" s="18"/>
      <c r="K67" s="21"/>
      <c r="L67" s="22"/>
      <c r="M67" s="22"/>
      <c r="N67" s="12" t="str">
        <f t="shared" si="4"/>
        <v/>
      </c>
      <c r="O67" s="23"/>
      <c r="P67" s="21"/>
      <c r="Q67" s="22"/>
      <c r="R67" s="16"/>
      <c r="S67" s="16" t="str">
        <f t="shared" si="3"/>
        <v/>
      </c>
    </row>
    <row r="68" ht="15.0" customHeight="1">
      <c r="A68" s="5" t="str">
        <f t="shared" si="1"/>
        <v/>
      </c>
      <c r="B68" s="6"/>
      <c r="C68" s="29"/>
      <c r="D68" s="24"/>
      <c r="E68" s="6"/>
      <c r="F68" s="6"/>
      <c r="G68" s="6"/>
      <c r="H68" s="6"/>
      <c r="I68" s="10"/>
      <c r="J68" s="6"/>
      <c r="K68" s="10"/>
      <c r="L68" s="11"/>
      <c r="M68" s="11"/>
      <c r="N68" s="12" t="str">
        <f t="shared" si="4"/>
        <v/>
      </c>
      <c r="O68" s="29"/>
      <c r="P68" s="10"/>
      <c r="Q68" s="11"/>
      <c r="R68" s="16"/>
      <c r="S68" s="16" t="str">
        <f t="shared" si="3"/>
        <v/>
      </c>
    </row>
    <row r="69" ht="15.0" customHeight="1">
      <c r="A69" s="17" t="str">
        <f t="shared" si="1"/>
        <v/>
      </c>
      <c r="B69" s="18"/>
      <c r="C69" s="23"/>
      <c r="D69" s="20"/>
      <c r="E69" s="18"/>
      <c r="F69" s="18"/>
      <c r="G69" s="18"/>
      <c r="H69" s="18"/>
      <c r="I69" s="21"/>
      <c r="J69" s="18"/>
      <c r="K69" s="21"/>
      <c r="L69" s="22"/>
      <c r="M69" s="22"/>
      <c r="N69" s="12" t="str">
        <f t="shared" si="4"/>
        <v/>
      </c>
      <c r="O69" s="23"/>
      <c r="P69" s="21"/>
      <c r="Q69" s="22"/>
      <c r="R69" s="16"/>
      <c r="S69" s="16" t="str">
        <f t="shared" si="3"/>
        <v/>
      </c>
    </row>
    <row r="70" ht="15.0" customHeight="1">
      <c r="A70" s="5" t="str">
        <f t="shared" si="1"/>
        <v/>
      </c>
      <c r="B70" s="6"/>
      <c r="C70" s="29"/>
      <c r="D70" s="24"/>
      <c r="E70" s="6"/>
      <c r="F70" s="6"/>
      <c r="G70" s="6"/>
      <c r="H70" s="6"/>
      <c r="I70" s="10"/>
      <c r="J70" s="6"/>
      <c r="K70" s="10"/>
      <c r="L70" s="11"/>
      <c r="M70" s="11"/>
      <c r="N70" s="12" t="str">
        <f t="shared" si="4"/>
        <v/>
      </c>
      <c r="O70" s="29"/>
      <c r="P70" s="10"/>
      <c r="Q70" s="11"/>
      <c r="R70" s="16"/>
      <c r="S70" s="16" t="str">
        <f t="shared" si="3"/>
        <v/>
      </c>
    </row>
    <row r="71" ht="15.0" customHeight="1">
      <c r="A71" s="17" t="str">
        <f t="shared" si="1"/>
        <v/>
      </c>
      <c r="B71" s="18"/>
      <c r="C71" s="23"/>
      <c r="D71" s="20"/>
      <c r="E71" s="18"/>
      <c r="F71" s="18"/>
      <c r="G71" s="18"/>
      <c r="H71" s="18"/>
      <c r="I71" s="21"/>
      <c r="J71" s="18"/>
      <c r="K71" s="21"/>
      <c r="L71" s="22"/>
      <c r="M71" s="22"/>
      <c r="N71" s="12" t="str">
        <f t="shared" si="4"/>
        <v/>
      </c>
      <c r="O71" s="23"/>
      <c r="P71" s="21"/>
      <c r="Q71" s="22"/>
      <c r="R71" s="16"/>
      <c r="S71" s="16" t="str">
        <f t="shared" si="3"/>
        <v/>
      </c>
    </row>
    <row r="72" ht="15.0" customHeight="1">
      <c r="A72" s="5" t="str">
        <f t="shared" si="1"/>
        <v/>
      </c>
      <c r="B72" s="6"/>
      <c r="C72" s="29"/>
      <c r="D72" s="24"/>
      <c r="E72" s="6"/>
      <c r="F72" s="6"/>
      <c r="G72" s="6"/>
      <c r="H72" s="6"/>
      <c r="I72" s="10"/>
      <c r="J72" s="6"/>
      <c r="K72" s="10"/>
      <c r="L72" s="11"/>
      <c r="M72" s="11"/>
      <c r="N72" s="12" t="str">
        <f t="shared" si="4"/>
        <v/>
      </c>
      <c r="O72" s="29"/>
      <c r="P72" s="10"/>
      <c r="Q72" s="11"/>
      <c r="R72" s="16"/>
      <c r="S72" s="16" t="str">
        <f t="shared" si="3"/>
        <v/>
      </c>
    </row>
    <row r="73" ht="15.0" customHeight="1">
      <c r="A73" s="17" t="str">
        <f t="shared" si="1"/>
        <v/>
      </c>
      <c r="B73" s="18"/>
      <c r="C73" s="23"/>
      <c r="D73" s="20"/>
      <c r="E73" s="18"/>
      <c r="F73" s="18"/>
      <c r="G73" s="18"/>
      <c r="H73" s="18"/>
      <c r="I73" s="21"/>
      <c r="J73" s="18"/>
      <c r="K73" s="21"/>
      <c r="L73" s="22"/>
      <c r="M73" s="22"/>
      <c r="N73" s="12" t="str">
        <f t="shared" si="4"/>
        <v/>
      </c>
      <c r="O73" s="23"/>
      <c r="P73" s="21"/>
      <c r="Q73" s="22"/>
      <c r="R73" s="16"/>
      <c r="S73" s="16" t="str">
        <f t="shared" si="3"/>
        <v/>
      </c>
    </row>
    <row r="74" ht="15.0" customHeight="1">
      <c r="A74" s="5" t="str">
        <f t="shared" si="1"/>
        <v/>
      </c>
      <c r="B74" s="6"/>
      <c r="C74" s="29"/>
      <c r="D74" s="24"/>
      <c r="E74" s="6"/>
      <c r="F74" s="6"/>
      <c r="G74" s="6"/>
      <c r="H74" s="6"/>
      <c r="I74" s="10"/>
      <c r="J74" s="6"/>
      <c r="K74" s="10"/>
      <c r="L74" s="11"/>
      <c r="M74" s="11"/>
      <c r="N74" s="12" t="str">
        <f t="shared" si="4"/>
        <v/>
      </c>
      <c r="O74" s="29"/>
      <c r="P74" s="10"/>
      <c r="Q74" s="11"/>
      <c r="R74" s="16"/>
      <c r="S74" s="16" t="str">
        <f t="shared" si="3"/>
        <v/>
      </c>
    </row>
    <row r="75" ht="15.0" customHeight="1">
      <c r="A75" s="17" t="str">
        <f t="shared" si="1"/>
        <v/>
      </c>
      <c r="B75" s="18"/>
      <c r="C75" s="23"/>
      <c r="D75" s="20"/>
      <c r="E75" s="18"/>
      <c r="F75" s="18"/>
      <c r="G75" s="18"/>
      <c r="H75" s="18"/>
      <c r="I75" s="21"/>
      <c r="J75" s="18"/>
      <c r="K75" s="21"/>
      <c r="L75" s="22"/>
      <c r="M75" s="22"/>
      <c r="N75" s="12" t="str">
        <f t="shared" si="4"/>
        <v/>
      </c>
      <c r="O75" s="23"/>
      <c r="P75" s="21"/>
      <c r="Q75" s="22"/>
      <c r="R75" s="16"/>
      <c r="S75" s="16" t="str">
        <f t="shared" si="3"/>
        <v/>
      </c>
    </row>
    <row r="76" ht="15.0" customHeight="1">
      <c r="A76" s="5" t="str">
        <f t="shared" si="1"/>
        <v/>
      </c>
      <c r="B76" s="6"/>
      <c r="C76" s="29"/>
      <c r="D76" s="24"/>
      <c r="E76" s="6"/>
      <c r="F76" s="6"/>
      <c r="G76" s="6"/>
      <c r="H76" s="6"/>
      <c r="I76" s="10"/>
      <c r="J76" s="6"/>
      <c r="K76" s="10"/>
      <c r="L76" s="11"/>
      <c r="M76" s="11"/>
      <c r="N76" s="12" t="str">
        <f t="shared" si="4"/>
        <v/>
      </c>
      <c r="O76" s="29"/>
      <c r="P76" s="10"/>
      <c r="Q76" s="11"/>
      <c r="R76" s="16"/>
      <c r="S76" s="16" t="str">
        <f t="shared" si="3"/>
        <v/>
      </c>
    </row>
    <row r="77" ht="15.0" customHeight="1">
      <c r="A77" s="17" t="str">
        <f t="shared" si="1"/>
        <v/>
      </c>
      <c r="B77" s="18"/>
      <c r="C77" s="23"/>
      <c r="D77" s="20"/>
      <c r="E77" s="18"/>
      <c r="F77" s="18"/>
      <c r="G77" s="18"/>
      <c r="H77" s="18"/>
      <c r="I77" s="21"/>
      <c r="J77" s="18"/>
      <c r="K77" s="21"/>
      <c r="L77" s="22"/>
      <c r="M77" s="22"/>
      <c r="N77" s="12" t="str">
        <f t="shared" si="4"/>
        <v/>
      </c>
      <c r="O77" s="23"/>
      <c r="P77" s="21"/>
      <c r="Q77" s="22"/>
      <c r="R77" s="16"/>
      <c r="S77" s="16" t="str">
        <f t="shared" si="3"/>
        <v/>
      </c>
    </row>
    <row r="78" ht="15.0" customHeight="1">
      <c r="A78" s="5" t="str">
        <f t="shared" si="1"/>
        <v/>
      </c>
      <c r="B78" s="6"/>
      <c r="C78" s="29"/>
      <c r="D78" s="24"/>
      <c r="E78" s="6"/>
      <c r="F78" s="6"/>
      <c r="G78" s="6"/>
      <c r="H78" s="6"/>
      <c r="I78" s="10"/>
      <c r="J78" s="6"/>
      <c r="K78" s="10"/>
      <c r="L78" s="11"/>
      <c r="M78" s="11"/>
      <c r="N78" s="12" t="str">
        <f t="shared" si="4"/>
        <v/>
      </c>
      <c r="O78" s="29"/>
      <c r="P78" s="10"/>
      <c r="Q78" s="11"/>
      <c r="R78" s="16"/>
      <c r="S78" s="16" t="str">
        <f t="shared" si="3"/>
        <v/>
      </c>
    </row>
    <row r="79" ht="15.0" customHeight="1">
      <c r="A79" s="17" t="str">
        <f t="shared" si="1"/>
        <v/>
      </c>
      <c r="B79" s="18"/>
      <c r="C79" s="23"/>
      <c r="D79" s="20"/>
      <c r="E79" s="18"/>
      <c r="F79" s="18"/>
      <c r="G79" s="18"/>
      <c r="H79" s="18"/>
      <c r="I79" s="21"/>
      <c r="J79" s="18"/>
      <c r="K79" s="21"/>
      <c r="L79" s="22"/>
      <c r="M79" s="22"/>
      <c r="N79" s="12" t="str">
        <f t="shared" si="4"/>
        <v/>
      </c>
      <c r="O79" s="23"/>
      <c r="P79" s="21"/>
      <c r="Q79" s="22"/>
      <c r="R79" s="16"/>
      <c r="S79" s="16" t="str">
        <f t="shared" si="3"/>
        <v/>
      </c>
    </row>
    <row r="80" ht="15.0" customHeight="1">
      <c r="A80" s="5" t="str">
        <f t="shared" si="1"/>
        <v/>
      </c>
      <c r="B80" s="6"/>
      <c r="C80" s="29"/>
      <c r="D80" s="24"/>
      <c r="E80" s="6"/>
      <c r="F80" s="6"/>
      <c r="G80" s="6"/>
      <c r="H80" s="6"/>
      <c r="I80" s="10"/>
      <c r="J80" s="6"/>
      <c r="K80" s="10"/>
      <c r="L80" s="11"/>
      <c r="M80" s="11"/>
      <c r="N80" s="12" t="str">
        <f t="shared" si="4"/>
        <v/>
      </c>
      <c r="O80" s="29"/>
      <c r="P80" s="10"/>
      <c r="Q80" s="11"/>
      <c r="R80" s="16"/>
      <c r="S80" s="16" t="str">
        <f t="shared" si="3"/>
        <v/>
      </c>
    </row>
    <row r="81" ht="15.0" customHeight="1">
      <c r="A81" s="17" t="str">
        <f t="shared" si="1"/>
        <v/>
      </c>
      <c r="B81" s="18"/>
      <c r="C81" s="23"/>
      <c r="D81" s="20"/>
      <c r="E81" s="18"/>
      <c r="F81" s="18"/>
      <c r="G81" s="18"/>
      <c r="H81" s="18"/>
      <c r="I81" s="21"/>
      <c r="J81" s="18"/>
      <c r="K81" s="21"/>
      <c r="L81" s="22"/>
      <c r="M81" s="22"/>
      <c r="N81" s="12" t="str">
        <f t="shared" si="4"/>
        <v/>
      </c>
      <c r="O81" s="23"/>
      <c r="P81" s="21"/>
      <c r="Q81" s="22"/>
      <c r="R81" s="16"/>
      <c r="S81" s="16" t="str">
        <f t="shared" si="3"/>
        <v/>
      </c>
    </row>
    <row r="82" ht="15.0" customHeight="1">
      <c r="A82" s="5" t="str">
        <f t="shared" si="1"/>
        <v/>
      </c>
      <c r="B82" s="6"/>
      <c r="C82" s="29"/>
      <c r="D82" s="24"/>
      <c r="E82" s="6"/>
      <c r="F82" s="6"/>
      <c r="G82" s="6"/>
      <c r="H82" s="6"/>
      <c r="I82" s="10"/>
      <c r="J82" s="6"/>
      <c r="K82" s="10"/>
      <c r="L82" s="11"/>
      <c r="M82" s="11"/>
      <c r="N82" s="12" t="str">
        <f t="shared" si="4"/>
        <v/>
      </c>
      <c r="O82" s="29"/>
      <c r="P82" s="10"/>
      <c r="Q82" s="11"/>
      <c r="R82" s="16"/>
      <c r="S82" s="16" t="str">
        <f t="shared" si="3"/>
        <v/>
      </c>
    </row>
    <row r="83" ht="15.0" customHeight="1">
      <c r="A83" s="17" t="str">
        <f t="shared" si="1"/>
        <v/>
      </c>
      <c r="B83" s="18"/>
      <c r="C83" s="23"/>
      <c r="D83" s="20"/>
      <c r="E83" s="18"/>
      <c r="F83" s="18"/>
      <c r="G83" s="18"/>
      <c r="H83" s="18"/>
      <c r="I83" s="21"/>
      <c r="J83" s="18"/>
      <c r="K83" s="21"/>
      <c r="L83" s="22"/>
      <c r="M83" s="22"/>
      <c r="N83" s="12" t="str">
        <f t="shared" si="4"/>
        <v/>
      </c>
      <c r="O83" s="23"/>
      <c r="P83" s="21"/>
      <c r="Q83" s="22"/>
      <c r="R83" s="16"/>
      <c r="S83" s="16" t="str">
        <f t="shared" si="3"/>
        <v/>
      </c>
    </row>
    <row r="84" ht="15.0" customHeight="1">
      <c r="A84" s="5" t="str">
        <f t="shared" si="1"/>
        <v/>
      </c>
      <c r="B84" s="6"/>
      <c r="C84" s="29"/>
      <c r="D84" s="24"/>
      <c r="E84" s="6"/>
      <c r="F84" s="6"/>
      <c r="G84" s="6"/>
      <c r="H84" s="6"/>
      <c r="I84" s="10"/>
      <c r="J84" s="6"/>
      <c r="K84" s="10"/>
      <c r="L84" s="11"/>
      <c r="M84" s="11"/>
      <c r="N84" s="12" t="str">
        <f t="shared" si="4"/>
        <v/>
      </c>
      <c r="O84" s="29"/>
      <c r="P84" s="10"/>
      <c r="Q84" s="11"/>
      <c r="R84" s="16"/>
      <c r="S84" s="16" t="str">
        <f t="shared" si="3"/>
        <v/>
      </c>
    </row>
    <row r="85" ht="15.0" customHeight="1">
      <c r="A85" s="17" t="str">
        <f t="shared" si="1"/>
        <v/>
      </c>
      <c r="B85" s="18"/>
      <c r="C85" s="23"/>
      <c r="D85" s="20"/>
      <c r="E85" s="18"/>
      <c r="F85" s="18"/>
      <c r="G85" s="18"/>
      <c r="H85" s="18"/>
      <c r="I85" s="21"/>
      <c r="J85" s="18"/>
      <c r="K85" s="21"/>
      <c r="L85" s="22"/>
      <c r="M85" s="22"/>
      <c r="N85" s="12" t="str">
        <f t="shared" si="4"/>
        <v/>
      </c>
      <c r="O85" s="23"/>
      <c r="P85" s="21"/>
      <c r="Q85" s="22"/>
      <c r="R85" s="16"/>
      <c r="S85" s="16" t="str">
        <f t="shared" si="3"/>
        <v/>
      </c>
    </row>
    <row r="86" ht="15.0" customHeight="1">
      <c r="A86" s="5" t="str">
        <f t="shared" si="1"/>
        <v/>
      </c>
      <c r="B86" s="6"/>
      <c r="C86" s="29"/>
      <c r="D86" s="24"/>
      <c r="E86" s="6"/>
      <c r="F86" s="6"/>
      <c r="G86" s="6"/>
      <c r="H86" s="6"/>
      <c r="I86" s="10"/>
      <c r="J86" s="6"/>
      <c r="K86" s="10"/>
      <c r="L86" s="11"/>
      <c r="M86" s="11"/>
      <c r="N86" s="12" t="str">
        <f t="shared" si="4"/>
        <v/>
      </c>
      <c r="O86" s="29"/>
      <c r="P86" s="10"/>
      <c r="Q86" s="11"/>
      <c r="R86" s="16"/>
      <c r="S86" s="16" t="str">
        <f t="shared" si="3"/>
        <v/>
      </c>
    </row>
    <row r="87" ht="15.0" customHeight="1">
      <c r="A87" s="17" t="str">
        <f t="shared" si="1"/>
        <v/>
      </c>
      <c r="B87" s="18"/>
      <c r="C87" s="23"/>
      <c r="D87" s="20"/>
      <c r="E87" s="18"/>
      <c r="F87" s="18"/>
      <c r="G87" s="18"/>
      <c r="H87" s="18"/>
      <c r="I87" s="21"/>
      <c r="J87" s="18"/>
      <c r="K87" s="21"/>
      <c r="L87" s="22"/>
      <c r="M87" s="22"/>
      <c r="N87" s="12" t="str">
        <f t="shared" si="4"/>
        <v/>
      </c>
      <c r="O87" s="23"/>
      <c r="P87" s="21"/>
      <c r="Q87" s="22"/>
      <c r="R87" s="16"/>
      <c r="S87" s="16" t="str">
        <f t="shared" si="3"/>
        <v/>
      </c>
    </row>
    <row r="88" ht="15.0" customHeight="1">
      <c r="A88" s="5" t="str">
        <f t="shared" si="1"/>
        <v/>
      </c>
      <c r="B88" s="6"/>
      <c r="C88" s="29"/>
      <c r="D88" s="24"/>
      <c r="E88" s="6"/>
      <c r="F88" s="6"/>
      <c r="G88" s="6"/>
      <c r="H88" s="6"/>
      <c r="I88" s="10"/>
      <c r="J88" s="6"/>
      <c r="K88" s="10"/>
      <c r="L88" s="11"/>
      <c r="M88" s="11"/>
      <c r="N88" s="12" t="str">
        <f t="shared" si="4"/>
        <v/>
      </c>
      <c r="O88" s="29"/>
      <c r="P88" s="10"/>
      <c r="Q88" s="11"/>
      <c r="R88" s="16"/>
      <c r="S88" s="16" t="str">
        <f t="shared" si="3"/>
        <v/>
      </c>
    </row>
    <row r="89" ht="15.0" customHeight="1">
      <c r="A89" s="17" t="str">
        <f t="shared" si="1"/>
        <v/>
      </c>
      <c r="B89" s="18"/>
      <c r="C89" s="23"/>
      <c r="D89" s="20"/>
      <c r="E89" s="18"/>
      <c r="F89" s="18"/>
      <c r="G89" s="18"/>
      <c r="H89" s="18"/>
      <c r="I89" s="21"/>
      <c r="J89" s="18"/>
      <c r="K89" s="21"/>
      <c r="L89" s="22"/>
      <c r="M89" s="22"/>
      <c r="N89" s="12" t="str">
        <f t="shared" si="4"/>
        <v/>
      </c>
      <c r="O89" s="23"/>
      <c r="P89" s="21"/>
      <c r="Q89" s="22"/>
      <c r="R89" s="16"/>
      <c r="S89" s="16" t="str">
        <f t="shared" si="3"/>
        <v/>
      </c>
    </row>
    <row r="90" ht="15.0" customHeight="1">
      <c r="A90" s="5" t="str">
        <f t="shared" si="1"/>
        <v/>
      </c>
      <c r="B90" s="6"/>
      <c r="C90" s="29"/>
      <c r="D90" s="24"/>
      <c r="E90" s="6"/>
      <c r="F90" s="6"/>
      <c r="G90" s="6"/>
      <c r="H90" s="6"/>
      <c r="I90" s="10"/>
      <c r="J90" s="6"/>
      <c r="K90" s="10"/>
      <c r="L90" s="11"/>
      <c r="M90" s="11"/>
      <c r="N90" s="12" t="str">
        <f t="shared" si="4"/>
        <v/>
      </c>
      <c r="O90" s="29"/>
      <c r="P90" s="10"/>
      <c r="Q90" s="11"/>
      <c r="R90" s="16"/>
      <c r="S90" s="16" t="str">
        <f t="shared" si="3"/>
        <v/>
      </c>
    </row>
    <row r="91" ht="15.0" customHeight="1">
      <c r="A91" s="17" t="str">
        <f t="shared" si="1"/>
        <v/>
      </c>
      <c r="B91" s="18"/>
      <c r="C91" s="23"/>
      <c r="D91" s="20"/>
      <c r="E91" s="18"/>
      <c r="F91" s="18"/>
      <c r="G91" s="18"/>
      <c r="H91" s="18"/>
      <c r="I91" s="21"/>
      <c r="J91" s="18"/>
      <c r="K91" s="21"/>
      <c r="L91" s="22"/>
      <c r="M91" s="22"/>
      <c r="N91" s="12" t="str">
        <f t="shared" si="4"/>
        <v/>
      </c>
      <c r="O91" s="23"/>
      <c r="P91" s="21"/>
      <c r="Q91" s="22"/>
      <c r="R91" s="16"/>
      <c r="S91" s="16" t="str">
        <f t="shared" si="3"/>
        <v/>
      </c>
    </row>
    <row r="92" ht="15.0" customHeight="1">
      <c r="A92" s="5" t="str">
        <f t="shared" si="1"/>
        <v/>
      </c>
      <c r="B92" s="6"/>
      <c r="C92" s="29"/>
      <c r="D92" s="24"/>
      <c r="E92" s="6"/>
      <c r="F92" s="6"/>
      <c r="G92" s="6"/>
      <c r="H92" s="6"/>
      <c r="I92" s="10"/>
      <c r="J92" s="6"/>
      <c r="K92" s="10"/>
      <c r="L92" s="11"/>
      <c r="M92" s="11"/>
      <c r="N92" s="12" t="str">
        <f t="shared" si="4"/>
        <v/>
      </c>
      <c r="O92" s="29"/>
      <c r="P92" s="10"/>
      <c r="Q92" s="11"/>
      <c r="R92" s="16"/>
      <c r="S92" s="16" t="str">
        <f t="shared" si="3"/>
        <v/>
      </c>
    </row>
    <row r="93" ht="15.0" customHeight="1">
      <c r="A93" s="17" t="str">
        <f t="shared" si="1"/>
        <v/>
      </c>
      <c r="B93" s="18"/>
      <c r="C93" s="23"/>
      <c r="D93" s="20"/>
      <c r="E93" s="18"/>
      <c r="F93" s="18"/>
      <c r="G93" s="18"/>
      <c r="H93" s="18"/>
      <c r="I93" s="21"/>
      <c r="J93" s="18"/>
      <c r="K93" s="21"/>
      <c r="L93" s="22"/>
      <c r="M93" s="22"/>
      <c r="N93" s="12" t="str">
        <f t="shared" si="4"/>
        <v/>
      </c>
      <c r="O93" s="23"/>
      <c r="P93" s="21"/>
      <c r="Q93" s="22"/>
      <c r="R93" s="16"/>
      <c r="S93" s="16" t="str">
        <f t="shared" si="3"/>
        <v/>
      </c>
    </row>
    <row r="94" ht="15.0" customHeight="1">
      <c r="A94" s="5" t="str">
        <f t="shared" si="1"/>
        <v/>
      </c>
      <c r="B94" s="6"/>
      <c r="C94" s="29"/>
      <c r="D94" s="24"/>
      <c r="E94" s="6"/>
      <c r="F94" s="6"/>
      <c r="G94" s="6"/>
      <c r="H94" s="6"/>
      <c r="I94" s="10"/>
      <c r="J94" s="6"/>
      <c r="K94" s="10"/>
      <c r="L94" s="11"/>
      <c r="M94" s="11"/>
      <c r="N94" s="12" t="str">
        <f t="shared" si="4"/>
        <v/>
      </c>
      <c r="O94" s="29"/>
      <c r="P94" s="10"/>
      <c r="Q94" s="11"/>
      <c r="R94" s="16"/>
      <c r="S94" s="16" t="str">
        <f t="shared" si="3"/>
        <v/>
      </c>
    </row>
    <row r="95" ht="15.0" customHeight="1">
      <c r="A95" s="17" t="str">
        <f t="shared" si="1"/>
        <v/>
      </c>
      <c r="B95" s="18"/>
      <c r="C95" s="23"/>
      <c r="D95" s="20"/>
      <c r="E95" s="18"/>
      <c r="F95" s="18"/>
      <c r="G95" s="18"/>
      <c r="H95" s="18"/>
      <c r="I95" s="21"/>
      <c r="J95" s="18"/>
      <c r="K95" s="21"/>
      <c r="L95" s="22"/>
      <c r="M95" s="22"/>
      <c r="N95" s="12" t="str">
        <f t="shared" si="4"/>
        <v/>
      </c>
      <c r="O95" s="23"/>
      <c r="P95" s="21"/>
      <c r="Q95" s="22"/>
      <c r="R95" s="16"/>
      <c r="S95" s="16" t="str">
        <f t="shared" si="3"/>
        <v/>
      </c>
    </row>
    <row r="96" ht="15.0" customHeight="1">
      <c r="A96" s="5" t="str">
        <f t="shared" si="1"/>
        <v/>
      </c>
      <c r="B96" s="6"/>
      <c r="C96" s="29"/>
      <c r="D96" s="24"/>
      <c r="E96" s="6"/>
      <c r="F96" s="6"/>
      <c r="G96" s="6"/>
      <c r="H96" s="6"/>
      <c r="I96" s="10"/>
      <c r="J96" s="6"/>
      <c r="K96" s="10"/>
      <c r="L96" s="11"/>
      <c r="M96" s="11"/>
      <c r="N96" s="12" t="str">
        <f t="shared" si="4"/>
        <v/>
      </c>
      <c r="O96" s="29"/>
      <c r="P96" s="10"/>
      <c r="Q96" s="11"/>
      <c r="R96" s="16"/>
      <c r="S96" s="16" t="str">
        <f t="shared" si="3"/>
        <v/>
      </c>
    </row>
    <row r="97" ht="15.0" customHeight="1">
      <c r="A97" s="17" t="str">
        <f t="shared" si="1"/>
        <v/>
      </c>
      <c r="B97" s="18"/>
      <c r="C97" s="23"/>
      <c r="D97" s="20"/>
      <c r="E97" s="18"/>
      <c r="F97" s="18"/>
      <c r="G97" s="18"/>
      <c r="H97" s="18"/>
      <c r="I97" s="21"/>
      <c r="J97" s="18"/>
      <c r="K97" s="21"/>
      <c r="L97" s="22"/>
      <c r="M97" s="22"/>
      <c r="N97" s="12" t="str">
        <f t="shared" si="4"/>
        <v/>
      </c>
      <c r="O97" s="23"/>
      <c r="P97" s="21"/>
      <c r="Q97" s="22"/>
      <c r="R97" s="16"/>
      <c r="S97" s="16" t="str">
        <f t="shared" si="3"/>
        <v/>
      </c>
    </row>
    <row r="98" ht="15.0" customHeight="1">
      <c r="A98" s="5" t="str">
        <f t="shared" si="1"/>
        <v/>
      </c>
      <c r="B98" s="6"/>
      <c r="C98" s="29"/>
      <c r="D98" s="24"/>
      <c r="E98" s="6"/>
      <c r="F98" s="6"/>
      <c r="G98" s="6"/>
      <c r="H98" s="6"/>
      <c r="I98" s="10"/>
      <c r="J98" s="6"/>
      <c r="K98" s="10"/>
      <c r="L98" s="11"/>
      <c r="M98" s="11"/>
      <c r="N98" s="12" t="str">
        <f t="shared" si="4"/>
        <v/>
      </c>
      <c r="O98" s="29"/>
      <c r="P98" s="10"/>
      <c r="Q98" s="11"/>
      <c r="R98" s="16"/>
      <c r="S98" s="16" t="str">
        <f t="shared" si="3"/>
        <v/>
      </c>
    </row>
    <row r="99" ht="15.0" customHeight="1">
      <c r="A99" s="17" t="str">
        <f t="shared" si="1"/>
        <v/>
      </c>
      <c r="B99" s="18"/>
      <c r="C99" s="23"/>
      <c r="D99" s="20"/>
      <c r="E99" s="18"/>
      <c r="F99" s="18"/>
      <c r="G99" s="18"/>
      <c r="H99" s="18"/>
      <c r="I99" s="21"/>
      <c r="J99" s="18"/>
      <c r="K99" s="21"/>
      <c r="L99" s="22"/>
      <c r="M99" s="22"/>
      <c r="N99" s="12" t="str">
        <f t="shared" si="4"/>
        <v/>
      </c>
      <c r="O99" s="23"/>
      <c r="P99" s="21"/>
      <c r="Q99" s="22"/>
      <c r="R99" s="16"/>
      <c r="S99" s="16" t="str">
        <f t="shared" si="3"/>
        <v/>
      </c>
    </row>
    <row r="100" ht="15.0" customHeight="1">
      <c r="A100" s="5" t="str">
        <f t="shared" si="1"/>
        <v/>
      </c>
      <c r="B100" s="6"/>
      <c r="C100" s="29"/>
      <c r="D100" s="24"/>
      <c r="E100" s="6"/>
      <c r="F100" s="6"/>
      <c r="G100" s="6"/>
      <c r="H100" s="6"/>
      <c r="I100" s="10"/>
      <c r="J100" s="6"/>
      <c r="K100" s="10"/>
      <c r="L100" s="11"/>
      <c r="M100" s="11"/>
      <c r="N100" s="12" t="str">
        <f t="shared" si="4"/>
        <v/>
      </c>
      <c r="O100" s="29"/>
      <c r="P100" s="10"/>
      <c r="Q100" s="11"/>
      <c r="R100" s="16"/>
      <c r="S100" s="16" t="str">
        <f t="shared" si="3"/>
        <v/>
      </c>
    </row>
    <row r="101" ht="15.0" customHeight="1">
      <c r="A101" s="17" t="str">
        <f t="shared" si="1"/>
        <v/>
      </c>
      <c r="B101" s="18"/>
      <c r="C101" s="23"/>
      <c r="D101" s="20"/>
      <c r="E101" s="18"/>
      <c r="F101" s="18"/>
      <c r="G101" s="18"/>
      <c r="H101" s="18"/>
      <c r="I101" s="21"/>
      <c r="J101" s="18"/>
      <c r="K101" s="21"/>
      <c r="L101" s="22"/>
      <c r="M101" s="22"/>
      <c r="N101" s="12" t="str">
        <f t="shared" si="4"/>
        <v/>
      </c>
      <c r="O101" s="23"/>
      <c r="P101" s="21"/>
      <c r="Q101" s="22"/>
      <c r="R101" s="16"/>
      <c r="S101" s="16" t="str">
        <f t="shared" si="3"/>
        <v/>
      </c>
    </row>
    <row r="102" ht="15.0" customHeight="1">
      <c r="A102" s="5" t="str">
        <f t="shared" si="1"/>
        <v/>
      </c>
      <c r="B102" s="6"/>
      <c r="C102" s="29"/>
      <c r="D102" s="24"/>
      <c r="E102" s="6"/>
      <c r="F102" s="6"/>
      <c r="G102" s="6"/>
      <c r="H102" s="6"/>
      <c r="I102" s="10"/>
      <c r="J102" s="6"/>
      <c r="K102" s="10"/>
      <c r="L102" s="11"/>
      <c r="M102" s="11"/>
      <c r="N102" s="12" t="str">
        <f t="shared" si="4"/>
        <v/>
      </c>
      <c r="O102" s="29"/>
      <c r="P102" s="10"/>
      <c r="Q102" s="11"/>
      <c r="R102" s="16"/>
      <c r="S102" s="16" t="str">
        <f t="shared" si="3"/>
        <v/>
      </c>
    </row>
    <row r="103" ht="15.0" customHeight="1">
      <c r="A103" s="17" t="str">
        <f t="shared" si="1"/>
        <v/>
      </c>
      <c r="B103" s="18"/>
      <c r="C103" s="23"/>
      <c r="D103" s="20"/>
      <c r="E103" s="18"/>
      <c r="F103" s="18"/>
      <c r="G103" s="18"/>
      <c r="H103" s="18"/>
      <c r="I103" s="21"/>
      <c r="J103" s="18"/>
      <c r="K103" s="21"/>
      <c r="L103" s="22"/>
      <c r="M103" s="22"/>
      <c r="N103" s="12" t="str">
        <f t="shared" si="4"/>
        <v/>
      </c>
      <c r="O103" s="23"/>
      <c r="P103" s="21"/>
      <c r="Q103" s="22"/>
      <c r="R103" s="16"/>
      <c r="S103" s="16" t="str">
        <f t="shared" si="3"/>
        <v/>
      </c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conditionalFormatting sqref="R4:S103">
    <cfRule type="cellIs" dxfId="0" priority="1" operator="greaterThan">
      <formula>0</formula>
    </cfRule>
  </conditionalFormatting>
  <conditionalFormatting sqref="R4:S103">
    <cfRule type="cellIs" dxfId="1" priority="2" operator="lessThan">
      <formula>0</formula>
    </cfRule>
  </conditionalFormatting>
  <conditionalFormatting sqref="I4:I15 I17:I103">
    <cfRule type="expression" dxfId="2" priority="3">
      <formula>I4="Con falla"</formula>
    </cfRule>
  </conditionalFormatting>
  <conditionalFormatting sqref="C17">
    <cfRule type="timePeriod" dxfId="3" priority="4" timePeriod="today"/>
  </conditionalFormatting>
  <dataValidations>
    <dataValidation type="list" allowBlank="1" sqref="P4:P103">
      <formula1>"MercadoLibre,Facebook Marketplace,Yapo.cl,Instagram,WhatsApp,Presencial,Otro"</formula1>
    </dataValidation>
    <dataValidation type="list" allowBlank="1" sqref="B14">
      <formula1>"Notebook,Computador,TV,Tablet,Audífonos,Consola,Smartphone,Otro,Smartwatch"</formula1>
    </dataValidation>
    <dataValidation type="list" allowBlank="1" sqref="B4:B13 B15:B103">
      <formula1>"Notebook,Computador,TV,Tablet,Audífonos,Consola,Smartphone,Otro"</formula1>
    </dataValidation>
    <dataValidation type="list" allowBlank="1" sqref="I4:I15 I17:I103">
      <formula1>"Nuevo,Como nuevo,Bueno,Regular,Con falla"</formula1>
    </dataValidation>
    <dataValidation type="list" allowBlank="1" sqref="K4:K103">
      <formula1>"Efectivo,Transferencia,MercadoPago,Cuotas,Otro"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30.0"/>
    <col customWidth="1" min="4" max="4" width="12.0"/>
    <col customWidth="1" min="5" max="6" width="16.0"/>
  </cols>
  <sheetData>
    <row r="1" ht="37.5" customHeight="1">
      <c r="A1" s="1" t="s">
        <v>104</v>
      </c>
      <c r="B1" s="2"/>
      <c r="C1" s="2"/>
      <c r="D1" s="2"/>
      <c r="E1" s="2"/>
      <c r="F1" s="38"/>
    </row>
    <row r="2" ht="18.0" customHeight="1">
      <c r="A2" s="3" t="s">
        <v>105</v>
      </c>
      <c r="B2" s="2"/>
      <c r="C2" s="2"/>
      <c r="D2" s="2"/>
      <c r="E2" s="2"/>
      <c r="F2" s="38"/>
    </row>
    <row r="3">
      <c r="A3" s="38"/>
      <c r="B3" s="38"/>
      <c r="C3" s="38"/>
      <c r="D3" s="38"/>
      <c r="E3" s="38"/>
      <c r="F3" s="38"/>
    </row>
    <row r="4" ht="21.75" customHeight="1">
      <c r="A4" s="38"/>
      <c r="B4" s="39" t="s">
        <v>106</v>
      </c>
      <c r="C4" s="2"/>
      <c r="D4" s="2"/>
      <c r="E4" s="38"/>
      <c r="F4" s="38"/>
    </row>
    <row r="5" ht="49.5" customHeight="1">
      <c r="A5" s="38"/>
      <c r="B5" s="40">
        <v>200000.0</v>
      </c>
      <c r="C5" s="41"/>
      <c r="D5" s="41"/>
      <c r="E5" s="38"/>
      <c r="F5" s="38"/>
    </row>
    <row r="6" ht="15.75" customHeight="1">
      <c r="A6" s="38"/>
      <c r="B6" s="42" t="s">
        <v>107</v>
      </c>
      <c r="C6" s="2"/>
      <c r="D6" s="2"/>
      <c r="E6" s="38"/>
      <c r="F6" s="38"/>
    </row>
    <row r="7">
      <c r="A7" s="38"/>
      <c r="B7" s="38"/>
      <c r="C7" s="38"/>
      <c r="D7" s="38"/>
      <c r="E7" s="38"/>
      <c r="F7" s="38"/>
    </row>
    <row r="8" ht="21.75" customHeight="1">
      <c r="A8" s="38"/>
      <c r="B8" s="43" t="s">
        <v>108</v>
      </c>
      <c r="C8" s="2"/>
      <c r="D8" s="2"/>
      <c r="E8" s="38"/>
      <c r="F8" s="38"/>
    </row>
    <row r="9" ht="43.5" customHeight="1">
      <c r="A9" s="38"/>
      <c r="B9" s="44">
        <f>IFERROR(SUM('📦 Registro'!N4:N103),0)</f>
        <v>3654000</v>
      </c>
      <c r="C9" s="2"/>
      <c r="D9" s="2"/>
      <c r="E9" s="38"/>
      <c r="F9" s="38"/>
    </row>
    <row r="10" ht="7.5" customHeight="1">
      <c r="A10" s="38"/>
      <c r="B10" s="38"/>
      <c r="C10" s="38"/>
      <c r="D10" s="38"/>
      <c r="E10" s="38"/>
      <c r="F10" s="38"/>
    </row>
    <row r="11" ht="21.75" customHeight="1">
      <c r="A11" s="38"/>
      <c r="B11" s="45" t="s">
        <v>109</v>
      </c>
      <c r="C11" s="2"/>
      <c r="D11" s="2"/>
      <c r="E11" s="38"/>
      <c r="F11" s="38"/>
    </row>
    <row r="12" ht="43.5" customHeight="1">
      <c r="A12" s="38"/>
      <c r="B12" s="46">
        <f>IFERROR(SUM('📦 Registro'!Q4:Q103),0)</f>
        <v>2011000</v>
      </c>
      <c r="C12" s="2"/>
      <c r="D12" s="2"/>
      <c r="E12" s="38"/>
      <c r="F12" s="38"/>
    </row>
    <row r="13" ht="7.5" customHeight="1">
      <c r="A13" s="38"/>
      <c r="B13" s="38"/>
      <c r="C13" s="38"/>
      <c r="D13" s="38"/>
      <c r="E13" s="38"/>
      <c r="F13" s="38"/>
    </row>
    <row r="14" ht="21.75" customHeight="1">
      <c r="A14" s="38"/>
      <c r="B14" s="39" t="s">
        <v>110</v>
      </c>
      <c r="C14" s="2"/>
      <c r="D14" s="2"/>
      <c r="E14" s="38"/>
      <c r="F14" s="38"/>
    </row>
    <row r="15" ht="43.5" customHeight="1">
      <c r="A15" s="38"/>
      <c r="B15" s="47">
        <f>IFERROR(SUMPRODUCT(('📦 Registro'!O4:O103="")*('📦 Registro'!N4:N103)),0)</f>
        <v>2210000</v>
      </c>
      <c r="C15" s="2"/>
      <c r="D15" s="2"/>
      <c r="E15" s="38"/>
      <c r="F15" s="38"/>
    </row>
    <row r="16" ht="7.5" customHeight="1">
      <c r="A16" s="38"/>
      <c r="B16" s="38"/>
      <c r="C16" s="38"/>
      <c r="D16" s="38"/>
      <c r="E16" s="38"/>
      <c r="F16" s="38"/>
    </row>
    <row r="17">
      <c r="A17" s="38"/>
      <c r="B17" s="38"/>
      <c r="C17" s="38"/>
      <c r="D17" s="38"/>
      <c r="E17" s="38"/>
      <c r="F17" s="38"/>
    </row>
    <row r="18" ht="24.0" customHeight="1">
      <c r="A18" s="38"/>
      <c r="B18" s="48" t="s">
        <v>111</v>
      </c>
      <c r="C18" s="2"/>
      <c r="D18" s="2"/>
      <c r="E18" s="38"/>
      <c r="F18" s="38"/>
    </row>
    <row r="19" ht="55.5" customHeight="1">
      <c r="A19" s="38"/>
      <c r="B19" s="49">
        <f>B5+B12-B9</f>
        <v>-1443000</v>
      </c>
      <c r="C19" s="50"/>
      <c r="D19" s="50"/>
      <c r="E19" s="38"/>
      <c r="F19" s="38"/>
    </row>
    <row r="20" ht="21.75" customHeight="1">
      <c r="A20" s="38"/>
      <c r="B20" s="42" t="s">
        <v>112</v>
      </c>
      <c r="C20" s="2"/>
      <c r="D20" s="2"/>
      <c r="E20" s="38"/>
      <c r="F20" s="38"/>
    </row>
    <row r="21" ht="15.75" customHeight="1">
      <c r="A21" s="38"/>
      <c r="B21" s="38"/>
      <c r="C21" s="38"/>
      <c r="D21" s="38"/>
      <c r="E21" s="38"/>
      <c r="F21" s="38"/>
    </row>
    <row r="22" ht="21.75" customHeight="1">
      <c r="A22" s="38"/>
      <c r="B22" s="51" t="s">
        <v>113</v>
      </c>
      <c r="C22" s="2"/>
      <c r="D22" s="2"/>
      <c r="E22" s="2"/>
      <c r="F22" s="2"/>
    </row>
    <row r="23" ht="25.5" customHeight="1">
      <c r="A23" s="38"/>
      <c r="B23" s="52" t="s">
        <v>114</v>
      </c>
      <c r="C23" s="52" t="s">
        <v>5</v>
      </c>
      <c r="D23" s="52" t="s">
        <v>115</v>
      </c>
      <c r="E23" s="52" t="s">
        <v>116</v>
      </c>
      <c r="F23" s="52" t="s">
        <v>117</v>
      </c>
    </row>
    <row r="24" ht="21.75" customHeight="1">
      <c r="A24" s="38"/>
      <c r="B24" s="29">
        <f>'📦 Registro'!C4</f>
        <v>46165</v>
      </c>
      <c r="C24" s="24" t="str">
        <f>'📦 Registro'!D4</f>
        <v>HUAWEI NOVA 14 PRO</v>
      </c>
      <c r="D24" s="6" t="str">
        <f>IF('📦 Registro'!O4&lt;&gt;"","Venta",IF('📦 Registro'!L4&lt;&gt;"","Compra",""))</f>
        <v>Venta</v>
      </c>
      <c r="E24" s="53">
        <f>IF('📦 Registro'!O4&lt;&gt;"",'📦 Registro'!Q4,IF('📦 Registro'!L4&lt;&gt;"",-'📦 Registro'!N4,""))</f>
        <v>230000</v>
      </c>
      <c r="F24" s="54">
        <f>IF(E24&lt;&gt;"",B5+E24,"")</f>
        <v>430000</v>
      </c>
    </row>
    <row r="25">
      <c r="A25" s="38"/>
      <c r="B25" s="23">
        <f>'📦 Registro'!C5</f>
        <v>46161</v>
      </c>
      <c r="C25" s="20" t="str">
        <f>'📦 Registro'!D5</f>
        <v>REDMI NOTE 13 PRO PLUS - IMEI 2 - TAPA TRIZADA </v>
      </c>
      <c r="D25" s="18" t="str">
        <f>IF('📦 Registro'!O5&lt;&gt;"","Venta",IF('📦 Registro'!L5&lt;&gt;"","Compra",""))</f>
        <v>Venta</v>
      </c>
      <c r="E25" s="55">
        <f>IF('📦 Registro'!O5&lt;&gt;"",'📦 Registro'!Q5,IF('📦 Registro'!L5&lt;&gt;"",-'📦 Registro'!N5,""))</f>
        <v>100000</v>
      </c>
      <c r="F25" s="56">
        <f t="shared" ref="F25:F38" si="1">IF(E25&lt;&gt;"",F24+E25,"")</f>
        <v>530000</v>
      </c>
    </row>
    <row r="26" ht="21.75" customHeight="1">
      <c r="A26" s="38"/>
      <c r="B26" s="29">
        <f>'📦 Registro'!C6</f>
        <v>46161</v>
      </c>
      <c r="C26" s="24" t="str">
        <f>'📦 Registro'!D6</f>
        <v>SAMSUNG GALAXY A55 8/128</v>
      </c>
      <c r="D26" s="6" t="str">
        <f>IF('📦 Registro'!O6&lt;&gt;"","Venta",IF('📦 Registro'!L6&lt;&gt;"","Compra",""))</f>
        <v>Venta</v>
      </c>
      <c r="E26" s="53">
        <f>IF('📦 Registro'!O6&lt;&gt;"",'📦 Registro'!Q6,IF('📦 Registro'!L6&lt;&gt;"",-'📦 Registro'!N6,""))</f>
        <v>70000</v>
      </c>
      <c r="F26" s="54">
        <f t="shared" si="1"/>
        <v>600000</v>
      </c>
    </row>
    <row r="27" ht="21.75" customHeight="1">
      <c r="A27" s="38"/>
      <c r="B27" s="23">
        <f>'📦 Registro'!C7</f>
        <v>46170</v>
      </c>
      <c r="C27" s="20" t="str">
        <f>'📦 Registro'!D7</f>
        <v>APPLE IPHONE 14 PRO 256GB </v>
      </c>
      <c r="D27" s="18" t="str">
        <f>IF('📦 Registro'!O7&lt;&gt;"","Venta",IF('📦 Registro'!L7&lt;&gt;"","Compra",""))</f>
        <v>Venta</v>
      </c>
      <c r="E27" s="55">
        <f>IF('📦 Registro'!O7&lt;&gt;"",'📦 Registro'!Q7,IF('📦 Registro'!L7&lt;&gt;"",-'📦 Registro'!N7,""))</f>
        <v>370000</v>
      </c>
      <c r="F27" s="56">
        <f t="shared" si="1"/>
        <v>970000</v>
      </c>
    </row>
    <row r="28" ht="21.75" customHeight="1">
      <c r="A28" s="38"/>
      <c r="B28" s="29">
        <f>'📦 Registro'!C8</f>
        <v>46170</v>
      </c>
      <c r="C28" s="24" t="str">
        <f>'📦 Registro'!D8</f>
        <v>APPLE IPHONE 11 PRO 64GB </v>
      </c>
      <c r="D28" s="6" t="str">
        <f>IF('📦 Registro'!O8&lt;&gt;"","Venta",IF('📦 Registro'!L8&lt;&gt;"","Compra",""))</f>
        <v>Compra</v>
      </c>
      <c r="E28" s="53">
        <f>IF('📦 Registro'!O8&lt;&gt;"",'📦 Registro'!Q8,IF('📦 Registro'!L8&lt;&gt;"",-'📦 Registro'!N8,""))</f>
        <v>-20000</v>
      </c>
      <c r="F28" s="54">
        <f t="shared" si="1"/>
        <v>950000</v>
      </c>
    </row>
    <row r="29" ht="21.75" customHeight="1">
      <c r="A29" s="38"/>
      <c r="B29" s="23">
        <f>'📦 Registro'!C9</f>
        <v>46170</v>
      </c>
      <c r="C29" s="20" t="str">
        <f>'📦 Registro'!D9</f>
        <v>HONOR POWER 2 12/256</v>
      </c>
      <c r="D29" s="18" t="str">
        <f>IF('📦 Registro'!O9&lt;&gt;"","Venta",IF('📦 Registro'!L9&lt;&gt;"","Compra",""))</f>
        <v>Venta</v>
      </c>
      <c r="E29" s="55">
        <f>IF('📦 Registro'!O9&lt;&gt;"",'📦 Registro'!Q9,IF('📦 Registro'!L9&lt;&gt;"",-'📦 Registro'!N9,""))</f>
        <v>150000</v>
      </c>
      <c r="F29" s="56">
        <f t="shared" si="1"/>
        <v>1100000</v>
      </c>
    </row>
    <row r="30" ht="21.75" customHeight="1">
      <c r="A30" s="38"/>
      <c r="B30" s="29">
        <f>'📦 Registro'!C10</f>
        <v>46125</v>
      </c>
      <c r="C30" s="24" t="str">
        <f>'📦 Registro'!D10</f>
        <v>ASUS PROART STUDIOBOOK I9/64 GB </v>
      </c>
      <c r="D30" s="6" t="str">
        <f>IF('📦 Registro'!O10&lt;&gt;"","Venta",IF('📦 Registro'!L10&lt;&gt;"","Compra",""))</f>
        <v>Compra</v>
      </c>
      <c r="E30" s="53">
        <f>IF('📦 Registro'!O10&lt;&gt;"",'📦 Registro'!Q10,IF('📦 Registro'!L10&lt;&gt;"",-'📦 Registro'!N10,""))</f>
        <v>-850000</v>
      </c>
      <c r="F30" s="54">
        <f t="shared" si="1"/>
        <v>250000</v>
      </c>
    </row>
    <row r="31" ht="21.75" customHeight="1">
      <c r="A31" s="38"/>
      <c r="B31" s="23">
        <f>'📦 Registro'!C11</f>
        <v>46182</v>
      </c>
      <c r="C31" s="20" t="str">
        <f>'📦 Registro'!D11</f>
        <v>LENOVO THINKBOOK P16 GEN 2</v>
      </c>
      <c r="D31" s="18" t="str">
        <f>IF('📦 Registro'!O11&lt;&gt;"","Venta",IF('📦 Registro'!L11&lt;&gt;"","Compra",""))</f>
        <v>Compra</v>
      </c>
      <c r="E31" s="55">
        <f>IF('📦 Registro'!O11&lt;&gt;"",'📦 Registro'!Q11,IF('📦 Registro'!L11&lt;&gt;"",-'📦 Registro'!N11,""))</f>
        <v>-480000</v>
      </c>
      <c r="F31" s="56">
        <f t="shared" si="1"/>
        <v>-230000</v>
      </c>
    </row>
    <row r="32" ht="21.75" customHeight="1">
      <c r="A32" s="38"/>
      <c r="B32" s="29">
        <f>'📦 Registro'!C12</f>
        <v>46183</v>
      </c>
      <c r="C32" s="24" t="str">
        <f>'📦 Registro'!D12</f>
        <v>LENOVO LEGION 5 I7/32GB/1TB</v>
      </c>
      <c r="D32" s="6" t="str">
        <f>IF('📦 Registro'!O12&lt;&gt;"","Venta",IF('📦 Registro'!L12&lt;&gt;"","Compra",""))</f>
        <v>Venta</v>
      </c>
      <c r="E32" s="53">
        <f>IF('📦 Registro'!O12&lt;&gt;"",'📦 Registro'!Q12,IF('📦 Registro'!L12&lt;&gt;"",-'📦 Registro'!N12,""))</f>
        <v>300000</v>
      </c>
      <c r="F32" s="54">
        <f t="shared" si="1"/>
        <v>70000</v>
      </c>
    </row>
    <row r="33" ht="21.75" customHeight="1">
      <c r="A33" s="38"/>
      <c r="B33" s="23">
        <f>'📦 Registro'!C13</f>
        <v>46181</v>
      </c>
      <c r="C33" s="20" t="str">
        <f>'📦 Registro'!D13</f>
        <v>DELL VOSTRO 3405 RYZEN 5</v>
      </c>
      <c r="D33" s="18" t="str">
        <f>IF('📦 Registro'!O13&lt;&gt;"","Venta",IF('📦 Registro'!L13&lt;&gt;"","Compra",""))</f>
        <v>Compra</v>
      </c>
      <c r="E33" s="55">
        <f>IF('📦 Registro'!O13&lt;&gt;"",'📦 Registro'!Q13,IF('📦 Registro'!L13&lt;&gt;"",-'📦 Registro'!N13,""))</f>
        <v>-50000</v>
      </c>
      <c r="F33" s="56">
        <f t="shared" si="1"/>
        <v>20000</v>
      </c>
    </row>
    <row r="34">
      <c r="A34" s="38"/>
      <c r="B34" s="29">
        <f>'📦 Registro'!C14</f>
        <v>46170</v>
      </c>
      <c r="C34" s="24" t="str">
        <f>'📦 Registro'!D14</f>
        <v>APPLE WATCH SE GEN 2 44M + CELLULAR</v>
      </c>
      <c r="D34" s="6" t="str">
        <f>IF('📦 Registro'!O14&lt;&gt;"","Venta",IF('📦 Registro'!L14&lt;&gt;"","Compra",""))</f>
        <v>Compra</v>
      </c>
      <c r="E34" s="53">
        <f>IF('📦 Registro'!O14&lt;&gt;"",'📦 Registro'!Q14,IF('📦 Registro'!L14&lt;&gt;"",-'📦 Registro'!N14,""))</f>
        <v>-50000</v>
      </c>
      <c r="F34" s="54">
        <f t="shared" si="1"/>
        <v>-30000</v>
      </c>
    </row>
    <row r="35">
      <c r="A35" s="38"/>
      <c r="B35" s="23">
        <f>'📦 Registro'!C15</f>
        <v>46147</v>
      </c>
      <c r="C35" s="20" t="str">
        <f>'📦 Registro'!D15</f>
        <v>LENOVO THINKCENTRE M70Q GEN 6</v>
      </c>
      <c r="D35" s="18" t="str">
        <f>IF('📦 Registro'!O15&lt;&gt;"","Venta",IF('📦 Registro'!L15&lt;&gt;"","Compra",""))</f>
        <v>Compra</v>
      </c>
      <c r="E35" s="55">
        <f>IF('📦 Registro'!O15&lt;&gt;"",'📦 Registro'!Q15,IF('📦 Registro'!L15&lt;&gt;"",-'📦 Registro'!N15,""))</f>
        <v>-300000</v>
      </c>
      <c r="F35" s="56">
        <f t="shared" si="1"/>
        <v>-330000</v>
      </c>
    </row>
    <row r="36" ht="21.75" customHeight="1">
      <c r="A36" s="38"/>
      <c r="B36" s="29">
        <f>'📦 Registro'!C16</f>
        <v>46101</v>
      </c>
      <c r="C36" s="24" t="str">
        <f>'📦 Registro'!D16</f>
        <v>TORRE THREADRIPPER</v>
      </c>
      <c r="D36" s="6" t="str">
        <f>IF('📦 Registro'!O16&lt;&gt;"","Venta",IF('📦 Registro'!L16&lt;&gt;"","Compra",""))</f>
        <v>Compra</v>
      </c>
      <c r="E36" s="53">
        <f>IF('📦 Registro'!O16&lt;&gt;"",'📦 Registro'!Q16,IF('📦 Registro'!L16&lt;&gt;"",-'📦 Registro'!N16,""))</f>
        <v>-320000</v>
      </c>
      <c r="F36" s="54">
        <f t="shared" si="1"/>
        <v>-650000</v>
      </c>
    </row>
    <row r="37" ht="21.75" customHeight="1">
      <c r="A37" s="38"/>
      <c r="B37" s="23">
        <f>'📦 Registro'!C17</f>
        <v>46185</v>
      </c>
      <c r="C37" s="20" t="str">
        <f>'📦 Registro'!D17</f>
        <v>CPU RYZEN 7 3700X, 1660TI</v>
      </c>
      <c r="D37" s="18" t="str">
        <f>IF('📦 Registro'!O17&lt;&gt;"","Venta",IF('📦 Registro'!L17&lt;&gt;"","Compra",""))</f>
        <v>Venta</v>
      </c>
      <c r="E37" s="55">
        <f>IF('📦 Registro'!O17&lt;&gt;"",'📦 Registro'!Q17,IF('📦 Registro'!L17&lt;&gt;"",-'📦 Registro'!N17,""))</f>
        <v>361000</v>
      </c>
      <c r="F37" s="56">
        <f t="shared" si="1"/>
        <v>-289000</v>
      </c>
    </row>
    <row r="38" ht="21.75" customHeight="1">
      <c r="A38" s="38"/>
      <c r="B38" s="29">
        <f>'📦 Registro'!C18</f>
        <v>46190</v>
      </c>
      <c r="C38" s="24" t="str">
        <f>'📦 Registro'!D18</f>
        <v>REDMI NOTE 15 PRO 512GB</v>
      </c>
      <c r="D38" s="6" t="str">
        <f>IF('📦 Registro'!O18&lt;&gt;"","Venta",IF('📦 Registro'!L18&lt;&gt;"","Compra",""))</f>
        <v>Venta</v>
      </c>
      <c r="E38" s="53">
        <f>IF('📦 Registro'!O18&lt;&gt;"",'📦 Registro'!Q18,IF('📦 Registro'!L18&lt;&gt;"",-'📦 Registro'!N18,""))</f>
        <v>150000</v>
      </c>
      <c r="F38" s="54">
        <f t="shared" si="1"/>
        <v>-139000</v>
      </c>
    </row>
    <row r="39" ht="15.75" customHeight="1">
      <c r="A39" s="38"/>
      <c r="B39" s="38"/>
      <c r="C39" s="38"/>
      <c r="D39" s="38"/>
      <c r="E39" s="38"/>
      <c r="F39" s="38"/>
    </row>
    <row r="40" ht="15.75" customHeight="1">
      <c r="A40" s="38"/>
      <c r="B40" s="38"/>
      <c r="C40" s="38"/>
      <c r="D40" s="38"/>
      <c r="E40" s="38"/>
      <c r="F40" s="38"/>
    </row>
    <row r="41" ht="15.75" customHeight="1">
      <c r="A41" s="38"/>
      <c r="B41" s="38"/>
      <c r="C41" s="38"/>
      <c r="D41" s="38"/>
      <c r="E41" s="38"/>
      <c r="F41" s="38"/>
    </row>
    <row r="42" ht="15.75" customHeight="1">
      <c r="A42" s="38"/>
      <c r="B42" s="38"/>
      <c r="C42" s="38"/>
      <c r="D42" s="38"/>
      <c r="E42" s="38"/>
      <c r="F42" s="38"/>
    </row>
    <row r="43" ht="15.75" customHeight="1">
      <c r="A43" s="38"/>
      <c r="B43" s="38"/>
      <c r="C43" s="38"/>
      <c r="D43" s="38"/>
      <c r="E43" s="38"/>
      <c r="F43" s="38"/>
    </row>
    <row r="44" ht="15.75" customHeight="1">
      <c r="A44" s="38"/>
      <c r="B44" s="38"/>
      <c r="C44" s="38"/>
      <c r="D44" s="38"/>
      <c r="E44" s="38"/>
      <c r="F44" s="38"/>
    </row>
    <row r="45" ht="15.75" customHeight="1">
      <c r="A45" s="38"/>
      <c r="B45" s="38"/>
      <c r="C45" s="38"/>
      <c r="D45" s="38"/>
      <c r="E45" s="38"/>
      <c r="F45" s="38"/>
    </row>
    <row r="46" ht="15.75" customHeight="1">
      <c r="A46" s="38"/>
      <c r="B46" s="38"/>
      <c r="C46" s="38"/>
      <c r="D46" s="38"/>
      <c r="E46" s="38"/>
      <c r="F46" s="38"/>
    </row>
    <row r="47" ht="15.75" customHeight="1">
      <c r="A47" s="38"/>
      <c r="B47" s="38"/>
      <c r="C47" s="38"/>
      <c r="D47" s="38"/>
      <c r="E47" s="38"/>
      <c r="F47" s="38"/>
    </row>
    <row r="48" ht="15.75" customHeight="1">
      <c r="A48" s="38"/>
      <c r="B48" s="38"/>
      <c r="C48" s="38"/>
      <c r="D48" s="38"/>
      <c r="E48" s="38"/>
      <c r="F48" s="38"/>
    </row>
    <row r="49" ht="15.75" customHeight="1">
      <c r="A49" s="38"/>
      <c r="B49" s="38"/>
      <c r="C49" s="38"/>
      <c r="D49" s="38"/>
      <c r="E49" s="38"/>
      <c r="F49" s="38"/>
    </row>
    <row r="50" ht="15.75" customHeight="1">
      <c r="A50" s="38"/>
      <c r="B50" s="38"/>
      <c r="C50" s="38"/>
      <c r="D50" s="38"/>
      <c r="E50" s="38"/>
      <c r="F50" s="38"/>
    </row>
    <row r="51" ht="15.75" customHeight="1">
      <c r="A51" s="38"/>
      <c r="B51" s="38"/>
      <c r="C51" s="38"/>
      <c r="D51" s="38"/>
      <c r="E51" s="38"/>
      <c r="F51" s="38"/>
    </row>
    <row r="52" ht="15.75" customHeight="1">
      <c r="A52" s="38"/>
      <c r="B52" s="38"/>
      <c r="C52" s="38"/>
      <c r="D52" s="38"/>
      <c r="E52" s="38"/>
      <c r="F52" s="38"/>
    </row>
    <row r="53" ht="15.75" customHeight="1">
      <c r="A53" s="38"/>
      <c r="B53" s="38"/>
      <c r="C53" s="38"/>
      <c r="D53" s="38"/>
      <c r="E53" s="38"/>
      <c r="F53" s="38"/>
    </row>
    <row r="54" ht="15.75" customHeight="1">
      <c r="A54" s="38"/>
      <c r="B54" s="38"/>
      <c r="C54" s="38"/>
      <c r="D54" s="38"/>
      <c r="E54" s="38"/>
      <c r="F54" s="38"/>
    </row>
    <row r="55" ht="15.75" customHeight="1">
      <c r="A55" s="38"/>
      <c r="B55" s="38"/>
      <c r="C55" s="38"/>
      <c r="D55" s="38"/>
      <c r="E55" s="38"/>
      <c r="F55" s="38"/>
    </row>
    <row r="56" ht="15.75" customHeight="1">
      <c r="A56" s="38"/>
      <c r="B56" s="38"/>
      <c r="C56" s="38"/>
      <c r="D56" s="38"/>
      <c r="E56" s="38"/>
      <c r="F56" s="38"/>
    </row>
    <row r="57" ht="15.75" customHeight="1">
      <c r="A57" s="38"/>
      <c r="B57" s="38"/>
      <c r="C57" s="38"/>
      <c r="D57" s="38"/>
      <c r="E57" s="38"/>
      <c r="F57" s="38"/>
    </row>
    <row r="58" ht="15.75" customHeight="1">
      <c r="A58" s="38"/>
      <c r="B58" s="38"/>
      <c r="C58" s="38"/>
      <c r="D58" s="38"/>
      <c r="E58" s="38"/>
      <c r="F58" s="38"/>
    </row>
    <row r="59" ht="15.75" customHeight="1">
      <c r="A59" s="38"/>
      <c r="B59" s="38"/>
      <c r="C59" s="38"/>
      <c r="D59" s="38"/>
      <c r="E59" s="38"/>
      <c r="F59" s="38"/>
    </row>
    <row r="60" ht="15.75" customHeight="1">
      <c r="A60" s="38"/>
      <c r="B60" s="38"/>
      <c r="C60" s="38"/>
      <c r="D60" s="38"/>
      <c r="E60" s="38"/>
      <c r="F60" s="38"/>
    </row>
    <row r="61" ht="15.75" customHeight="1">
      <c r="A61" s="38"/>
      <c r="B61" s="38"/>
      <c r="C61" s="38"/>
      <c r="D61" s="38"/>
      <c r="E61" s="38"/>
      <c r="F61" s="38"/>
    </row>
    <row r="62" ht="15.75" customHeight="1">
      <c r="A62" s="38"/>
      <c r="B62" s="38"/>
      <c r="C62" s="38"/>
      <c r="D62" s="38"/>
      <c r="E62" s="38"/>
      <c r="F62" s="38"/>
    </row>
    <row r="63" ht="15.75" customHeight="1">
      <c r="A63" s="38"/>
      <c r="B63" s="38"/>
      <c r="C63" s="38"/>
      <c r="D63" s="38"/>
      <c r="E63" s="38"/>
      <c r="F63" s="38"/>
    </row>
    <row r="64" ht="15.75" customHeight="1">
      <c r="A64" s="38"/>
      <c r="B64" s="38"/>
      <c r="C64" s="38"/>
      <c r="D64" s="38"/>
      <c r="E64" s="38"/>
      <c r="F64" s="38"/>
    </row>
    <row r="65" ht="15.75" customHeight="1">
      <c r="A65" s="38"/>
      <c r="B65" s="38"/>
      <c r="C65" s="38"/>
      <c r="D65" s="38"/>
      <c r="E65" s="38"/>
      <c r="F65" s="38"/>
    </row>
    <row r="66" ht="15.75" customHeight="1">
      <c r="A66" s="38"/>
      <c r="B66" s="38"/>
      <c r="C66" s="38"/>
      <c r="D66" s="38"/>
      <c r="E66" s="38"/>
      <c r="F66" s="38"/>
    </row>
    <row r="67" ht="15.75" customHeight="1">
      <c r="A67" s="38"/>
      <c r="B67" s="38"/>
      <c r="C67" s="38"/>
      <c r="D67" s="38"/>
      <c r="E67" s="38"/>
      <c r="F67" s="38"/>
    </row>
    <row r="68" ht="15.75" customHeight="1">
      <c r="A68" s="38"/>
      <c r="B68" s="38"/>
      <c r="C68" s="38"/>
      <c r="D68" s="38"/>
      <c r="E68" s="38"/>
      <c r="F68" s="38"/>
    </row>
    <row r="69" ht="15.75" customHeight="1">
      <c r="A69" s="38"/>
      <c r="B69" s="38"/>
      <c r="C69" s="38"/>
      <c r="D69" s="38"/>
      <c r="E69" s="38"/>
      <c r="F69" s="38"/>
    </row>
    <row r="70" ht="15.75" customHeight="1">
      <c r="A70" s="38"/>
      <c r="B70" s="38"/>
      <c r="C70" s="38"/>
      <c r="D70" s="38"/>
      <c r="E70" s="38"/>
      <c r="F70" s="38"/>
    </row>
    <row r="71" ht="15.75" customHeight="1">
      <c r="A71" s="38"/>
      <c r="B71" s="38"/>
      <c r="C71" s="38"/>
      <c r="D71" s="38"/>
      <c r="E71" s="38"/>
      <c r="F71" s="38"/>
    </row>
    <row r="72" ht="15.75" customHeight="1">
      <c r="A72" s="38"/>
      <c r="B72" s="38"/>
      <c r="C72" s="38"/>
      <c r="D72" s="38"/>
      <c r="E72" s="38"/>
      <c r="F72" s="38"/>
    </row>
    <row r="73" ht="15.75" customHeight="1">
      <c r="A73" s="38"/>
      <c r="B73" s="38"/>
      <c r="C73" s="38"/>
      <c r="D73" s="38"/>
      <c r="E73" s="38"/>
      <c r="F73" s="38"/>
    </row>
    <row r="74" ht="15.75" customHeight="1">
      <c r="A74" s="38"/>
      <c r="B74" s="38"/>
      <c r="C74" s="38"/>
      <c r="D74" s="38"/>
      <c r="E74" s="38"/>
      <c r="F74" s="38"/>
    </row>
    <row r="75" ht="15.75" customHeight="1">
      <c r="A75" s="38"/>
      <c r="B75" s="38"/>
      <c r="C75" s="38"/>
      <c r="D75" s="38"/>
      <c r="E75" s="38"/>
      <c r="F75" s="38"/>
    </row>
    <row r="76" ht="15.75" customHeight="1">
      <c r="A76" s="38"/>
      <c r="B76" s="38"/>
      <c r="C76" s="38"/>
      <c r="D76" s="38"/>
      <c r="E76" s="38"/>
      <c r="F76" s="38"/>
    </row>
    <row r="77" ht="15.75" customHeight="1">
      <c r="A77" s="38"/>
      <c r="B77" s="38"/>
      <c r="C77" s="38"/>
      <c r="D77" s="38"/>
      <c r="E77" s="38"/>
      <c r="F77" s="38"/>
    </row>
    <row r="78" ht="15.75" customHeight="1">
      <c r="A78" s="38"/>
      <c r="B78" s="38"/>
      <c r="C78" s="38"/>
      <c r="D78" s="38"/>
      <c r="E78" s="38"/>
      <c r="F78" s="38"/>
    </row>
    <row r="79" ht="15.75" customHeight="1">
      <c r="A79" s="38"/>
      <c r="B79" s="38"/>
      <c r="C79" s="38"/>
      <c r="D79" s="38"/>
      <c r="E79" s="38"/>
      <c r="F79" s="38"/>
    </row>
    <row r="80" ht="15.75" customHeight="1">
      <c r="A80" s="38"/>
      <c r="B80" s="38"/>
      <c r="C80" s="38"/>
      <c r="D80" s="38"/>
      <c r="E80" s="38"/>
      <c r="F80" s="38"/>
    </row>
    <row r="81" ht="15.75" customHeight="1">
      <c r="A81" s="38"/>
      <c r="B81" s="38"/>
      <c r="C81" s="38"/>
      <c r="D81" s="38"/>
      <c r="E81" s="38"/>
      <c r="F81" s="38"/>
    </row>
    <row r="82" ht="15.75" customHeight="1">
      <c r="A82" s="38"/>
      <c r="B82" s="38"/>
      <c r="C82" s="38"/>
      <c r="D82" s="38"/>
      <c r="E82" s="38"/>
      <c r="F82" s="38"/>
    </row>
    <row r="83" ht="15.75" customHeight="1">
      <c r="A83" s="38"/>
      <c r="B83" s="38"/>
      <c r="C83" s="38"/>
      <c r="D83" s="38"/>
      <c r="E83" s="38"/>
      <c r="F83" s="38"/>
    </row>
    <row r="84" ht="15.75" customHeight="1">
      <c r="A84" s="38"/>
      <c r="B84" s="38"/>
      <c r="C84" s="38"/>
      <c r="D84" s="38"/>
      <c r="E84" s="38"/>
      <c r="F84" s="38"/>
    </row>
    <row r="85" ht="15.75" customHeight="1">
      <c r="A85" s="38"/>
      <c r="B85" s="38"/>
      <c r="C85" s="38"/>
      <c r="D85" s="38"/>
      <c r="E85" s="38"/>
      <c r="F85" s="38"/>
    </row>
    <row r="86" ht="15.75" customHeight="1">
      <c r="A86" s="38"/>
      <c r="B86" s="38"/>
      <c r="C86" s="38"/>
      <c r="D86" s="38"/>
      <c r="E86" s="38"/>
      <c r="F86" s="38"/>
    </row>
    <row r="87" ht="15.75" customHeight="1">
      <c r="A87" s="38"/>
      <c r="B87" s="38"/>
      <c r="C87" s="38"/>
      <c r="D87" s="38"/>
      <c r="E87" s="38"/>
      <c r="F87" s="38"/>
    </row>
    <row r="88" ht="15.75" customHeight="1">
      <c r="A88" s="38"/>
      <c r="B88" s="38"/>
      <c r="C88" s="38"/>
      <c r="D88" s="38"/>
      <c r="E88" s="38"/>
      <c r="F88" s="38"/>
    </row>
    <row r="89" ht="15.75" customHeight="1">
      <c r="A89" s="38"/>
      <c r="B89" s="38"/>
      <c r="C89" s="38"/>
      <c r="D89" s="38"/>
      <c r="E89" s="38"/>
      <c r="F89" s="38"/>
    </row>
    <row r="90" ht="15.75" customHeight="1">
      <c r="A90" s="38"/>
      <c r="B90" s="38"/>
      <c r="C90" s="38"/>
      <c r="D90" s="38"/>
      <c r="E90" s="38"/>
      <c r="F90" s="38"/>
    </row>
    <row r="91" ht="15.75" customHeight="1">
      <c r="A91" s="38"/>
      <c r="B91" s="38"/>
      <c r="C91" s="38"/>
      <c r="D91" s="38"/>
      <c r="E91" s="38"/>
      <c r="F91" s="38"/>
    </row>
    <row r="92" ht="15.75" customHeight="1">
      <c r="A92" s="38"/>
      <c r="B92" s="38"/>
      <c r="C92" s="38"/>
      <c r="D92" s="38"/>
      <c r="E92" s="38"/>
      <c r="F92" s="38"/>
    </row>
    <row r="93" ht="15.75" customHeight="1">
      <c r="A93" s="38"/>
      <c r="B93" s="38"/>
      <c r="C93" s="38"/>
      <c r="D93" s="38"/>
      <c r="E93" s="38"/>
      <c r="F93" s="38"/>
    </row>
    <row r="94" ht="15.75" customHeight="1">
      <c r="A94" s="38"/>
      <c r="B94" s="38"/>
      <c r="C94" s="38"/>
      <c r="D94" s="38"/>
      <c r="E94" s="38"/>
      <c r="F94" s="38"/>
    </row>
    <row r="95" ht="15.75" customHeight="1">
      <c r="A95" s="38"/>
      <c r="B95" s="38"/>
      <c r="C95" s="38"/>
      <c r="D95" s="38"/>
      <c r="E95" s="38"/>
      <c r="F95" s="38"/>
    </row>
    <row r="96" ht="15.75" customHeight="1">
      <c r="A96" s="38"/>
      <c r="B96" s="38"/>
      <c r="C96" s="38"/>
      <c r="D96" s="38"/>
      <c r="E96" s="38"/>
      <c r="F96" s="38"/>
    </row>
    <row r="97" ht="15.75" customHeight="1">
      <c r="A97" s="38"/>
      <c r="B97" s="38"/>
      <c r="C97" s="38"/>
      <c r="D97" s="38"/>
      <c r="E97" s="38"/>
      <c r="F97" s="38"/>
    </row>
    <row r="98" ht="15.75" customHeight="1">
      <c r="A98" s="38"/>
      <c r="B98" s="38"/>
      <c r="C98" s="38"/>
      <c r="D98" s="38"/>
      <c r="E98" s="38"/>
      <c r="F98" s="38"/>
    </row>
    <row r="99" ht="15.75" customHeight="1">
      <c r="A99" s="38"/>
      <c r="B99" s="38"/>
      <c r="C99" s="38"/>
      <c r="D99" s="38"/>
      <c r="E99" s="38"/>
      <c r="F99" s="38"/>
    </row>
    <row r="100" ht="15.75" customHeight="1">
      <c r="A100" s="38"/>
      <c r="B100" s="38"/>
      <c r="C100" s="38"/>
      <c r="D100" s="38"/>
      <c r="E100" s="38"/>
      <c r="F100" s="38"/>
    </row>
    <row r="101" ht="15.75" customHeight="1">
      <c r="A101" s="38"/>
      <c r="B101" s="38"/>
      <c r="C101" s="38"/>
      <c r="D101" s="38"/>
      <c r="E101" s="38"/>
      <c r="F101" s="38"/>
    </row>
    <row r="102" ht="15.75" customHeight="1">
      <c r="A102" s="38"/>
      <c r="B102" s="38"/>
      <c r="C102" s="38"/>
      <c r="D102" s="38"/>
      <c r="E102" s="38"/>
      <c r="F102" s="38"/>
    </row>
    <row r="103" ht="15.75" customHeight="1">
      <c r="A103" s="38"/>
      <c r="B103" s="38"/>
      <c r="C103" s="38"/>
      <c r="D103" s="38"/>
      <c r="E103" s="38"/>
      <c r="F103" s="38"/>
    </row>
    <row r="104" ht="15.75" customHeight="1">
      <c r="A104" s="38"/>
      <c r="B104" s="38"/>
      <c r="C104" s="38"/>
      <c r="D104" s="38"/>
      <c r="E104" s="38"/>
      <c r="F104" s="38"/>
    </row>
    <row r="105" ht="15.75" customHeight="1">
      <c r="A105" s="38"/>
      <c r="B105" s="38"/>
      <c r="C105" s="38"/>
      <c r="D105" s="38"/>
      <c r="E105" s="38"/>
      <c r="F105" s="38"/>
    </row>
    <row r="106" ht="15.75" customHeight="1">
      <c r="A106" s="38"/>
      <c r="B106" s="38"/>
      <c r="C106" s="38"/>
      <c r="D106" s="38"/>
      <c r="E106" s="38"/>
      <c r="F106" s="38"/>
    </row>
    <row r="107" ht="15.75" customHeight="1">
      <c r="A107" s="38"/>
      <c r="B107" s="38"/>
      <c r="C107" s="38"/>
      <c r="D107" s="38"/>
      <c r="E107" s="38"/>
      <c r="F107" s="38"/>
    </row>
    <row r="108" ht="15.75" customHeight="1">
      <c r="A108" s="38"/>
      <c r="B108" s="38"/>
      <c r="C108" s="38"/>
      <c r="D108" s="38"/>
      <c r="E108" s="38"/>
      <c r="F108" s="38"/>
    </row>
    <row r="109" ht="15.75" customHeight="1">
      <c r="A109" s="38"/>
      <c r="B109" s="38"/>
      <c r="C109" s="38"/>
      <c r="D109" s="38"/>
      <c r="E109" s="38"/>
      <c r="F109" s="38"/>
    </row>
    <row r="110" ht="15.75" customHeight="1">
      <c r="A110" s="38"/>
      <c r="B110" s="38"/>
      <c r="C110" s="38"/>
      <c r="D110" s="38"/>
      <c r="E110" s="38"/>
      <c r="F110" s="38"/>
    </row>
    <row r="111" ht="15.75" customHeight="1">
      <c r="A111" s="38"/>
      <c r="B111" s="38"/>
      <c r="C111" s="38"/>
      <c r="D111" s="38"/>
      <c r="E111" s="38"/>
      <c r="F111" s="38"/>
    </row>
    <row r="112" ht="15.75" customHeight="1">
      <c r="A112" s="38"/>
      <c r="B112" s="38"/>
      <c r="C112" s="38"/>
      <c r="D112" s="38"/>
      <c r="E112" s="38"/>
      <c r="F112" s="38"/>
    </row>
    <row r="113" ht="15.75" customHeight="1">
      <c r="A113" s="38"/>
      <c r="B113" s="38"/>
      <c r="C113" s="38"/>
      <c r="D113" s="38"/>
      <c r="E113" s="38"/>
      <c r="F113" s="38"/>
    </row>
    <row r="114" ht="15.75" customHeight="1">
      <c r="A114" s="38"/>
      <c r="B114" s="38"/>
      <c r="C114" s="38"/>
      <c r="D114" s="38"/>
      <c r="E114" s="38"/>
      <c r="F114" s="38"/>
    </row>
    <row r="115" ht="15.75" customHeight="1">
      <c r="A115" s="38"/>
      <c r="B115" s="38"/>
      <c r="C115" s="38"/>
      <c r="D115" s="38"/>
      <c r="E115" s="38"/>
      <c r="F115" s="38"/>
    </row>
    <row r="116" ht="15.75" customHeight="1">
      <c r="A116" s="38"/>
      <c r="B116" s="38"/>
      <c r="C116" s="38"/>
      <c r="D116" s="38"/>
      <c r="E116" s="38"/>
      <c r="F116" s="38"/>
    </row>
    <row r="117" ht="15.75" customHeight="1">
      <c r="A117" s="38"/>
      <c r="B117" s="38"/>
      <c r="C117" s="38"/>
      <c r="D117" s="38"/>
      <c r="E117" s="38"/>
      <c r="F117" s="38"/>
    </row>
    <row r="118" ht="15.75" customHeight="1">
      <c r="A118" s="38"/>
      <c r="B118" s="38"/>
      <c r="C118" s="38"/>
      <c r="D118" s="38"/>
      <c r="E118" s="38"/>
      <c r="F118" s="38"/>
    </row>
    <row r="119" ht="15.75" customHeight="1">
      <c r="A119" s="38"/>
      <c r="B119" s="38"/>
      <c r="C119" s="38"/>
      <c r="D119" s="38"/>
      <c r="E119" s="38"/>
      <c r="F119" s="38"/>
    </row>
    <row r="120" ht="15.75" customHeight="1">
      <c r="A120" s="38"/>
      <c r="B120" s="38"/>
      <c r="C120" s="38"/>
      <c r="D120" s="38"/>
      <c r="E120" s="38"/>
      <c r="F120" s="38"/>
    </row>
    <row r="121" ht="15.75" customHeight="1">
      <c r="A121" s="38"/>
      <c r="B121" s="38"/>
      <c r="C121" s="38"/>
      <c r="D121" s="38"/>
      <c r="E121" s="38"/>
      <c r="F121" s="38"/>
    </row>
    <row r="122" ht="15.75" customHeight="1">
      <c r="A122" s="38"/>
      <c r="B122" s="38"/>
      <c r="C122" s="38"/>
      <c r="D122" s="38"/>
      <c r="E122" s="38"/>
      <c r="F122" s="38"/>
    </row>
    <row r="123" ht="15.75" customHeight="1">
      <c r="A123" s="38"/>
      <c r="B123" s="38"/>
      <c r="C123" s="38"/>
      <c r="D123" s="38"/>
      <c r="E123" s="38"/>
      <c r="F123" s="38"/>
    </row>
    <row r="124" ht="15.75" customHeight="1">
      <c r="A124" s="38"/>
      <c r="B124" s="38"/>
      <c r="C124" s="38"/>
      <c r="D124" s="38"/>
      <c r="E124" s="38"/>
      <c r="F124" s="38"/>
    </row>
    <row r="125" ht="15.75" customHeight="1">
      <c r="A125" s="38"/>
      <c r="B125" s="38"/>
      <c r="C125" s="38"/>
      <c r="D125" s="38"/>
      <c r="E125" s="38"/>
      <c r="F125" s="38"/>
    </row>
    <row r="126" ht="15.75" customHeight="1">
      <c r="A126" s="38"/>
      <c r="B126" s="38"/>
      <c r="C126" s="38"/>
      <c r="D126" s="38"/>
      <c r="E126" s="38"/>
      <c r="F126" s="38"/>
    </row>
    <row r="127" ht="15.75" customHeight="1">
      <c r="A127" s="38"/>
      <c r="B127" s="38"/>
      <c r="C127" s="38"/>
      <c r="D127" s="38"/>
      <c r="E127" s="38"/>
      <c r="F127" s="38"/>
    </row>
    <row r="128" ht="15.75" customHeight="1">
      <c r="A128" s="38"/>
      <c r="B128" s="38"/>
      <c r="C128" s="38"/>
      <c r="D128" s="38"/>
      <c r="E128" s="38"/>
      <c r="F128" s="38"/>
    </row>
    <row r="129" ht="15.75" customHeight="1">
      <c r="A129" s="38"/>
      <c r="B129" s="38"/>
      <c r="C129" s="38"/>
      <c r="D129" s="38"/>
      <c r="E129" s="38"/>
      <c r="F129" s="38"/>
    </row>
    <row r="130" ht="15.75" customHeight="1">
      <c r="A130" s="38"/>
      <c r="B130" s="38"/>
      <c r="C130" s="38"/>
      <c r="D130" s="38"/>
      <c r="E130" s="38"/>
      <c r="F130" s="38"/>
    </row>
    <row r="131" ht="15.75" customHeight="1">
      <c r="A131" s="38"/>
      <c r="B131" s="38"/>
      <c r="C131" s="38"/>
      <c r="D131" s="38"/>
      <c r="E131" s="38"/>
      <c r="F131" s="38"/>
    </row>
    <row r="132" ht="15.75" customHeight="1">
      <c r="A132" s="38"/>
      <c r="B132" s="38"/>
      <c r="C132" s="38"/>
      <c r="D132" s="38"/>
      <c r="E132" s="38"/>
      <c r="F132" s="38"/>
    </row>
    <row r="133" ht="15.75" customHeight="1">
      <c r="A133" s="38"/>
      <c r="B133" s="38"/>
      <c r="C133" s="38"/>
      <c r="D133" s="38"/>
      <c r="E133" s="38"/>
      <c r="F133" s="38"/>
    </row>
    <row r="134" ht="15.75" customHeight="1">
      <c r="A134" s="38"/>
      <c r="B134" s="38"/>
      <c r="C134" s="38"/>
      <c r="D134" s="38"/>
      <c r="E134" s="38"/>
      <c r="F134" s="38"/>
    </row>
    <row r="135" ht="15.75" customHeight="1">
      <c r="A135" s="38"/>
      <c r="B135" s="38"/>
      <c r="C135" s="38"/>
      <c r="D135" s="38"/>
      <c r="E135" s="38"/>
      <c r="F135" s="38"/>
    </row>
    <row r="136" ht="15.75" customHeight="1">
      <c r="A136" s="38"/>
      <c r="B136" s="38"/>
      <c r="C136" s="38"/>
      <c r="D136" s="38"/>
      <c r="E136" s="38"/>
      <c r="F136" s="38"/>
    </row>
    <row r="137" ht="15.75" customHeight="1">
      <c r="A137" s="38"/>
      <c r="B137" s="38"/>
      <c r="C137" s="38"/>
      <c r="D137" s="38"/>
      <c r="E137" s="38"/>
      <c r="F137" s="38"/>
    </row>
    <row r="138" ht="15.75" customHeight="1">
      <c r="A138" s="38"/>
      <c r="B138" s="38"/>
      <c r="C138" s="38"/>
      <c r="D138" s="38"/>
      <c r="E138" s="38"/>
      <c r="F138" s="38"/>
    </row>
    <row r="139" ht="15.75" customHeight="1">
      <c r="A139" s="38"/>
      <c r="B139" s="38"/>
      <c r="C139" s="38"/>
      <c r="D139" s="38"/>
      <c r="E139" s="38"/>
      <c r="F139" s="38"/>
    </row>
    <row r="140" ht="15.75" customHeight="1">
      <c r="A140" s="38"/>
      <c r="B140" s="38"/>
      <c r="C140" s="38"/>
      <c r="D140" s="38"/>
      <c r="E140" s="38"/>
      <c r="F140" s="38"/>
    </row>
    <row r="141" ht="15.75" customHeight="1">
      <c r="A141" s="38"/>
      <c r="B141" s="38"/>
      <c r="C141" s="38"/>
      <c r="D141" s="38"/>
      <c r="E141" s="38"/>
      <c r="F141" s="38"/>
    </row>
    <row r="142" ht="15.75" customHeight="1">
      <c r="A142" s="38"/>
      <c r="B142" s="38"/>
      <c r="C142" s="38"/>
      <c r="D142" s="38"/>
      <c r="E142" s="38"/>
      <c r="F142" s="38"/>
    </row>
    <row r="143" ht="15.75" customHeight="1">
      <c r="A143" s="38"/>
      <c r="B143" s="38"/>
      <c r="C143" s="38"/>
      <c r="D143" s="38"/>
      <c r="E143" s="38"/>
      <c r="F143" s="38"/>
    </row>
    <row r="144" ht="15.75" customHeight="1">
      <c r="A144" s="38"/>
      <c r="B144" s="38"/>
      <c r="C144" s="38"/>
      <c r="D144" s="38"/>
      <c r="E144" s="38"/>
      <c r="F144" s="38"/>
    </row>
    <row r="145" ht="15.75" customHeight="1">
      <c r="A145" s="38"/>
      <c r="B145" s="38"/>
      <c r="C145" s="38"/>
      <c r="D145" s="38"/>
      <c r="E145" s="38"/>
      <c r="F145" s="38"/>
    </row>
    <row r="146" ht="15.75" customHeight="1">
      <c r="A146" s="38"/>
      <c r="B146" s="38"/>
      <c r="C146" s="38"/>
      <c r="D146" s="38"/>
      <c r="E146" s="38"/>
      <c r="F146" s="38"/>
    </row>
    <row r="147" ht="15.75" customHeight="1">
      <c r="A147" s="38"/>
      <c r="B147" s="38"/>
      <c r="C147" s="38"/>
      <c r="D147" s="38"/>
      <c r="E147" s="38"/>
      <c r="F147" s="38"/>
    </row>
    <row r="148" ht="15.75" customHeight="1">
      <c r="A148" s="38"/>
      <c r="B148" s="38"/>
      <c r="C148" s="38"/>
      <c r="D148" s="38"/>
      <c r="E148" s="38"/>
      <c r="F148" s="38"/>
    </row>
    <row r="149" ht="15.75" customHeight="1">
      <c r="A149" s="38"/>
      <c r="B149" s="38"/>
      <c r="C149" s="38"/>
      <c r="D149" s="38"/>
      <c r="E149" s="38"/>
      <c r="F149" s="38"/>
    </row>
    <row r="150" ht="15.75" customHeight="1">
      <c r="A150" s="38"/>
      <c r="B150" s="38"/>
      <c r="C150" s="38"/>
      <c r="D150" s="38"/>
      <c r="E150" s="38"/>
      <c r="F150" s="38"/>
    </row>
    <row r="151" ht="15.75" customHeight="1">
      <c r="A151" s="38"/>
      <c r="B151" s="38"/>
      <c r="C151" s="38"/>
      <c r="D151" s="38"/>
      <c r="E151" s="38"/>
      <c r="F151" s="38"/>
    </row>
    <row r="152" ht="15.75" customHeight="1">
      <c r="A152" s="38"/>
      <c r="B152" s="38"/>
      <c r="C152" s="38"/>
      <c r="D152" s="38"/>
      <c r="E152" s="38"/>
      <c r="F152" s="38"/>
    </row>
    <row r="153" ht="15.75" customHeight="1">
      <c r="A153" s="38"/>
      <c r="B153" s="38"/>
      <c r="C153" s="38"/>
      <c r="D153" s="38"/>
      <c r="E153" s="38"/>
      <c r="F153" s="38"/>
    </row>
    <row r="154" ht="15.75" customHeight="1">
      <c r="A154" s="38"/>
      <c r="B154" s="38"/>
      <c r="C154" s="38"/>
      <c r="D154" s="38"/>
      <c r="E154" s="38"/>
      <c r="F154" s="38"/>
    </row>
    <row r="155" ht="15.75" customHeight="1">
      <c r="A155" s="38"/>
      <c r="B155" s="38"/>
      <c r="C155" s="38"/>
      <c r="D155" s="38"/>
      <c r="E155" s="38"/>
      <c r="F155" s="38"/>
    </row>
    <row r="156" ht="15.75" customHeight="1">
      <c r="A156" s="38"/>
      <c r="B156" s="38"/>
      <c r="C156" s="38"/>
      <c r="D156" s="38"/>
      <c r="E156" s="38"/>
      <c r="F156" s="38"/>
    </row>
    <row r="157" ht="15.75" customHeight="1">
      <c r="A157" s="38"/>
      <c r="B157" s="38"/>
      <c r="C157" s="38"/>
      <c r="D157" s="38"/>
      <c r="E157" s="38"/>
      <c r="F157" s="38"/>
    </row>
    <row r="158" ht="15.75" customHeight="1">
      <c r="A158" s="38"/>
      <c r="B158" s="38"/>
      <c r="C158" s="38"/>
      <c r="D158" s="38"/>
      <c r="E158" s="38"/>
      <c r="F158" s="38"/>
    </row>
    <row r="159" ht="15.75" customHeight="1">
      <c r="A159" s="38"/>
      <c r="B159" s="38"/>
      <c r="C159" s="38"/>
      <c r="D159" s="38"/>
      <c r="E159" s="38"/>
      <c r="F159" s="38"/>
    </row>
    <row r="160" ht="15.75" customHeight="1">
      <c r="A160" s="38"/>
      <c r="B160" s="38"/>
      <c r="C160" s="38"/>
      <c r="D160" s="38"/>
      <c r="E160" s="38"/>
      <c r="F160" s="38"/>
    </row>
    <row r="161" ht="15.75" customHeight="1">
      <c r="A161" s="38"/>
      <c r="B161" s="38"/>
      <c r="C161" s="38"/>
      <c r="D161" s="38"/>
      <c r="E161" s="38"/>
      <c r="F161" s="38"/>
    </row>
    <row r="162" ht="15.75" customHeight="1">
      <c r="A162" s="38"/>
      <c r="B162" s="38"/>
      <c r="C162" s="38"/>
      <c r="D162" s="38"/>
      <c r="E162" s="38"/>
      <c r="F162" s="38"/>
    </row>
    <row r="163" ht="15.75" customHeight="1">
      <c r="A163" s="38"/>
      <c r="B163" s="38"/>
      <c r="C163" s="38"/>
      <c r="D163" s="38"/>
      <c r="E163" s="38"/>
      <c r="F163" s="38"/>
    </row>
    <row r="164" ht="15.75" customHeight="1">
      <c r="A164" s="38"/>
      <c r="B164" s="38"/>
      <c r="C164" s="38"/>
      <c r="D164" s="38"/>
      <c r="E164" s="38"/>
      <c r="F164" s="38"/>
    </row>
    <row r="165" ht="15.75" customHeight="1">
      <c r="A165" s="38"/>
      <c r="B165" s="38"/>
      <c r="C165" s="38"/>
      <c r="D165" s="38"/>
      <c r="E165" s="38"/>
      <c r="F165" s="38"/>
    </row>
    <row r="166" ht="15.75" customHeight="1">
      <c r="A166" s="38"/>
      <c r="B166" s="38"/>
      <c r="C166" s="38"/>
      <c r="D166" s="38"/>
      <c r="E166" s="38"/>
      <c r="F166" s="38"/>
    </row>
    <row r="167" ht="15.75" customHeight="1">
      <c r="A167" s="38"/>
      <c r="B167" s="38"/>
      <c r="C167" s="38"/>
      <c r="D167" s="38"/>
      <c r="E167" s="38"/>
      <c r="F167" s="38"/>
    </row>
    <row r="168" ht="15.75" customHeight="1">
      <c r="A168" s="38"/>
      <c r="B168" s="38"/>
      <c r="C168" s="38"/>
      <c r="D168" s="38"/>
      <c r="E168" s="38"/>
      <c r="F168" s="38"/>
    </row>
    <row r="169" ht="15.75" customHeight="1">
      <c r="A169" s="38"/>
      <c r="B169" s="38"/>
      <c r="C169" s="38"/>
      <c r="D169" s="38"/>
      <c r="E169" s="38"/>
      <c r="F169" s="38"/>
    </row>
    <row r="170" ht="15.75" customHeight="1">
      <c r="A170" s="38"/>
      <c r="B170" s="38"/>
      <c r="C170" s="38"/>
      <c r="D170" s="38"/>
      <c r="E170" s="38"/>
      <c r="F170" s="38"/>
    </row>
    <row r="171" ht="15.75" customHeight="1">
      <c r="A171" s="38"/>
      <c r="B171" s="38"/>
      <c r="C171" s="38"/>
      <c r="D171" s="38"/>
      <c r="E171" s="38"/>
      <c r="F171" s="38"/>
    </row>
    <row r="172" ht="15.75" customHeight="1">
      <c r="A172" s="38"/>
      <c r="B172" s="38"/>
      <c r="C172" s="38"/>
      <c r="D172" s="38"/>
      <c r="E172" s="38"/>
      <c r="F172" s="38"/>
    </row>
    <row r="173" ht="15.75" customHeight="1">
      <c r="A173" s="38"/>
      <c r="B173" s="38"/>
      <c r="C173" s="38"/>
      <c r="D173" s="38"/>
      <c r="E173" s="38"/>
      <c r="F173" s="38"/>
    </row>
    <row r="174" ht="15.75" customHeight="1">
      <c r="A174" s="38"/>
      <c r="B174" s="38"/>
      <c r="C174" s="38"/>
      <c r="D174" s="38"/>
      <c r="E174" s="38"/>
      <c r="F174" s="38"/>
    </row>
    <row r="175" ht="15.75" customHeight="1">
      <c r="A175" s="38"/>
      <c r="B175" s="38"/>
      <c r="C175" s="38"/>
      <c r="D175" s="38"/>
      <c r="E175" s="38"/>
      <c r="F175" s="38"/>
    </row>
    <row r="176" ht="15.75" customHeight="1">
      <c r="A176" s="38"/>
      <c r="B176" s="38"/>
      <c r="C176" s="38"/>
      <c r="D176" s="38"/>
      <c r="E176" s="38"/>
      <c r="F176" s="38"/>
    </row>
    <row r="177" ht="15.75" customHeight="1">
      <c r="A177" s="38"/>
      <c r="B177" s="38"/>
      <c r="C177" s="38"/>
      <c r="D177" s="38"/>
      <c r="E177" s="38"/>
      <c r="F177" s="38"/>
    </row>
    <row r="178" ht="15.75" customHeight="1">
      <c r="A178" s="38"/>
      <c r="B178" s="38"/>
      <c r="C178" s="38"/>
      <c r="D178" s="38"/>
      <c r="E178" s="38"/>
      <c r="F178" s="38"/>
    </row>
    <row r="179" ht="15.75" customHeight="1">
      <c r="A179" s="38"/>
      <c r="B179" s="38"/>
      <c r="C179" s="38"/>
      <c r="D179" s="38"/>
      <c r="E179" s="38"/>
      <c r="F179" s="38"/>
    </row>
    <row r="180" ht="15.75" customHeight="1">
      <c r="A180" s="38"/>
      <c r="B180" s="38"/>
      <c r="C180" s="38"/>
      <c r="D180" s="38"/>
      <c r="E180" s="38"/>
      <c r="F180" s="38"/>
    </row>
    <row r="181" ht="15.75" customHeight="1">
      <c r="A181" s="38"/>
      <c r="B181" s="38"/>
      <c r="C181" s="38"/>
      <c r="D181" s="38"/>
      <c r="E181" s="38"/>
      <c r="F181" s="38"/>
    </row>
    <row r="182" ht="15.75" customHeight="1">
      <c r="A182" s="38"/>
      <c r="B182" s="38"/>
      <c r="C182" s="38"/>
      <c r="D182" s="38"/>
      <c r="E182" s="38"/>
      <c r="F182" s="38"/>
    </row>
    <row r="183" ht="15.75" customHeight="1">
      <c r="A183" s="38"/>
      <c r="B183" s="38"/>
      <c r="C183" s="38"/>
      <c r="D183" s="38"/>
      <c r="E183" s="38"/>
      <c r="F183" s="38"/>
    </row>
    <row r="184" ht="15.75" customHeight="1">
      <c r="A184" s="38"/>
      <c r="B184" s="38"/>
      <c r="C184" s="38"/>
      <c r="D184" s="38"/>
      <c r="E184" s="38"/>
      <c r="F184" s="38"/>
    </row>
    <row r="185" ht="15.75" customHeight="1">
      <c r="A185" s="38"/>
      <c r="B185" s="38"/>
      <c r="C185" s="38"/>
      <c r="D185" s="38"/>
      <c r="E185" s="38"/>
      <c r="F185" s="38"/>
    </row>
    <row r="186" ht="15.75" customHeight="1">
      <c r="A186" s="38"/>
      <c r="B186" s="38"/>
      <c r="C186" s="38"/>
      <c r="D186" s="38"/>
      <c r="E186" s="38"/>
      <c r="F186" s="38"/>
    </row>
    <row r="187" ht="15.75" customHeight="1">
      <c r="A187" s="38"/>
      <c r="B187" s="38"/>
      <c r="C187" s="38"/>
      <c r="D187" s="38"/>
      <c r="E187" s="38"/>
      <c r="F187" s="38"/>
    </row>
    <row r="188" ht="15.75" customHeight="1">
      <c r="A188" s="38"/>
      <c r="B188" s="38"/>
      <c r="C188" s="38"/>
      <c r="D188" s="38"/>
      <c r="E188" s="38"/>
      <c r="F188" s="38"/>
    </row>
    <row r="189" ht="15.75" customHeight="1">
      <c r="A189" s="38"/>
      <c r="B189" s="38"/>
      <c r="C189" s="38"/>
      <c r="D189" s="38"/>
      <c r="E189" s="38"/>
      <c r="F189" s="38"/>
    </row>
    <row r="190" ht="15.75" customHeight="1">
      <c r="A190" s="38"/>
      <c r="B190" s="38"/>
      <c r="C190" s="38"/>
      <c r="D190" s="38"/>
      <c r="E190" s="38"/>
      <c r="F190" s="38"/>
    </row>
    <row r="191" ht="15.75" customHeight="1">
      <c r="A191" s="38"/>
      <c r="B191" s="38"/>
      <c r="C191" s="38"/>
      <c r="D191" s="38"/>
      <c r="E191" s="38"/>
      <c r="F191" s="38"/>
    </row>
    <row r="192" ht="15.75" customHeight="1">
      <c r="A192" s="38"/>
      <c r="B192" s="38"/>
      <c r="C192" s="38"/>
      <c r="D192" s="38"/>
      <c r="E192" s="38"/>
      <c r="F192" s="38"/>
    </row>
    <row r="193" ht="15.75" customHeight="1">
      <c r="A193" s="38"/>
      <c r="B193" s="38"/>
      <c r="C193" s="38"/>
      <c r="D193" s="38"/>
      <c r="E193" s="38"/>
      <c r="F193" s="38"/>
    </row>
    <row r="194" ht="15.75" customHeight="1">
      <c r="A194" s="38"/>
      <c r="B194" s="38"/>
      <c r="C194" s="38"/>
      <c r="D194" s="38"/>
      <c r="E194" s="38"/>
      <c r="F194" s="38"/>
    </row>
    <row r="195" ht="15.75" customHeight="1">
      <c r="A195" s="38"/>
      <c r="B195" s="38"/>
      <c r="C195" s="38"/>
      <c r="D195" s="38"/>
      <c r="E195" s="38"/>
      <c r="F195" s="38"/>
    </row>
    <row r="196" ht="15.75" customHeight="1">
      <c r="A196" s="38"/>
      <c r="B196" s="38"/>
      <c r="C196" s="38"/>
      <c r="D196" s="38"/>
      <c r="E196" s="38"/>
      <c r="F196" s="38"/>
    </row>
    <row r="197" ht="15.75" customHeight="1">
      <c r="A197" s="38"/>
      <c r="B197" s="38"/>
      <c r="C197" s="38"/>
      <c r="D197" s="38"/>
      <c r="E197" s="38"/>
      <c r="F197" s="38"/>
    </row>
    <row r="198" ht="15.75" customHeight="1">
      <c r="A198" s="38"/>
      <c r="B198" s="38"/>
      <c r="C198" s="38"/>
      <c r="D198" s="38"/>
      <c r="E198" s="38"/>
      <c r="F198" s="38"/>
    </row>
    <row r="199" ht="15.75" customHeight="1">
      <c r="A199" s="38"/>
      <c r="B199" s="38"/>
      <c r="C199" s="38"/>
      <c r="D199" s="38"/>
      <c r="E199" s="38"/>
      <c r="F199" s="38"/>
    </row>
    <row r="200" ht="15.75" customHeight="1">
      <c r="A200" s="38"/>
      <c r="B200" s="38"/>
      <c r="C200" s="38"/>
      <c r="D200" s="38"/>
      <c r="E200" s="38"/>
      <c r="F200" s="38"/>
    </row>
    <row r="201" ht="15.75" customHeight="1">
      <c r="A201" s="38"/>
      <c r="B201" s="38"/>
      <c r="C201" s="38"/>
      <c r="D201" s="38"/>
      <c r="E201" s="38"/>
      <c r="F201" s="38"/>
    </row>
    <row r="202" ht="15.75" customHeight="1">
      <c r="A202" s="38"/>
      <c r="B202" s="38"/>
      <c r="C202" s="38"/>
      <c r="D202" s="38"/>
      <c r="E202" s="38"/>
      <c r="F202" s="38"/>
    </row>
    <row r="203" ht="15.75" customHeight="1">
      <c r="A203" s="38"/>
      <c r="B203" s="38"/>
      <c r="C203" s="38"/>
      <c r="D203" s="38"/>
      <c r="E203" s="38"/>
      <c r="F203" s="38"/>
    </row>
    <row r="204" ht="15.75" customHeight="1">
      <c r="A204" s="38"/>
      <c r="B204" s="38"/>
      <c r="C204" s="38"/>
      <c r="D204" s="38"/>
      <c r="E204" s="38"/>
      <c r="F204" s="38"/>
    </row>
    <row r="205" ht="15.75" customHeight="1">
      <c r="A205" s="38"/>
      <c r="B205" s="38"/>
      <c r="C205" s="38"/>
      <c r="D205" s="38"/>
      <c r="E205" s="38"/>
      <c r="F205" s="38"/>
    </row>
    <row r="206" ht="15.75" customHeight="1">
      <c r="A206" s="38"/>
      <c r="B206" s="38"/>
      <c r="C206" s="38"/>
      <c r="D206" s="38"/>
      <c r="E206" s="38"/>
      <c r="F206" s="38"/>
    </row>
    <row r="207" ht="15.75" customHeight="1">
      <c r="A207" s="38"/>
      <c r="B207" s="38"/>
      <c r="C207" s="38"/>
      <c r="D207" s="38"/>
      <c r="E207" s="38"/>
      <c r="F207" s="38"/>
    </row>
    <row r="208" ht="15.75" customHeight="1">
      <c r="A208" s="38"/>
      <c r="B208" s="38"/>
      <c r="C208" s="38"/>
      <c r="D208" s="38"/>
      <c r="E208" s="38"/>
      <c r="F208" s="38"/>
    </row>
    <row r="209" ht="15.75" customHeight="1">
      <c r="A209" s="38"/>
      <c r="B209" s="38"/>
      <c r="C209" s="38"/>
      <c r="D209" s="38"/>
      <c r="E209" s="38"/>
      <c r="F209" s="38"/>
    </row>
    <row r="210" ht="15.75" customHeight="1">
      <c r="A210" s="38"/>
      <c r="B210" s="38"/>
      <c r="C210" s="38"/>
      <c r="D210" s="38"/>
      <c r="E210" s="38"/>
      <c r="F210" s="38"/>
    </row>
    <row r="211" ht="15.75" customHeight="1">
      <c r="A211" s="38"/>
      <c r="B211" s="38"/>
      <c r="C211" s="38"/>
      <c r="D211" s="38"/>
      <c r="E211" s="38"/>
      <c r="F211" s="38"/>
    </row>
    <row r="212" ht="15.75" customHeight="1">
      <c r="A212" s="38"/>
      <c r="B212" s="38"/>
      <c r="C212" s="38"/>
      <c r="D212" s="38"/>
      <c r="E212" s="38"/>
      <c r="F212" s="38"/>
    </row>
    <row r="213" ht="15.75" customHeight="1">
      <c r="A213" s="38"/>
      <c r="B213" s="38"/>
      <c r="C213" s="38"/>
      <c r="D213" s="38"/>
      <c r="E213" s="38"/>
      <c r="F213" s="38"/>
    </row>
    <row r="214" ht="15.75" customHeight="1">
      <c r="A214" s="38"/>
      <c r="B214" s="38"/>
      <c r="C214" s="38"/>
      <c r="D214" s="38"/>
      <c r="E214" s="38"/>
      <c r="F214" s="38"/>
    </row>
    <row r="215" ht="15.75" customHeight="1">
      <c r="A215" s="38"/>
      <c r="B215" s="38"/>
      <c r="C215" s="38"/>
      <c r="D215" s="38"/>
      <c r="E215" s="38"/>
      <c r="F215" s="38"/>
    </row>
    <row r="216" ht="15.75" customHeight="1">
      <c r="A216" s="38"/>
      <c r="B216" s="38"/>
      <c r="C216" s="38"/>
      <c r="D216" s="38"/>
      <c r="E216" s="38"/>
      <c r="F216" s="38"/>
    </row>
    <row r="217" ht="15.75" customHeight="1">
      <c r="A217" s="38"/>
      <c r="B217" s="38"/>
      <c r="C217" s="38"/>
      <c r="D217" s="38"/>
      <c r="E217" s="38"/>
      <c r="F217" s="38"/>
    </row>
    <row r="218" ht="15.75" customHeight="1">
      <c r="A218" s="38"/>
      <c r="B218" s="38"/>
      <c r="C218" s="38"/>
      <c r="D218" s="38"/>
      <c r="E218" s="38"/>
      <c r="F218" s="38"/>
    </row>
    <row r="219" ht="15.75" customHeight="1">
      <c r="A219" s="38"/>
      <c r="B219" s="38"/>
      <c r="C219" s="38"/>
      <c r="D219" s="38"/>
      <c r="E219" s="38"/>
      <c r="F219" s="38"/>
    </row>
    <row r="220" ht="15.75" customHeight="1">
      <c r="A220" s="38"/>
      <c r="B220" s="38"/>
      <c r="C220" s="38"/>
      <c r="D220" s="38"/>
      <c r="E220" s="38"/>
      <c r="F220" s="38"/>
    </row>
    <row r="221" ht="15.75" customHeight="1">
      <c r="A221" s="38"/>
      <c r="B221" s="38"/>
      <c r="C221" s="38"/>
      <c r="D221" s="38"/>
      <c r="E221" s="38"/>
      <c r="F221" s="38"/>
    </row>
    <row r="222" ht="15.75" customHeight="1">
      <c r="A222" s="38"/>
      <c r="B222" s="38"/>
      <c r="C222" s="38"/>
      <c r="D222" s="38"/>
      <c r="E222" s="38"/>
      <c r="F222" s="38"/>
    </row>
    <row r="223" ht="15.75" customHeight="1">
      <c r="A223" s="38"/>
      <c r="B223" s="38"/>
      <c r="C223" s="38"/>
      <c r="D223" s="38"/>
      <c r="E223" s="38"/>
      <c r="F223" s="38"/>
    </row>
    <row r="224" ht="15.75" customHeight="1">
      <c r="A224" s="38"/>
      <c r="B224" s="38"/>
      <c r="C224" s="38"/>
      <c r="D224" s="38"/>
      <c r="E224" s="38"/>
      <c r="F224" s="38"/>
    </row>
    <row r="225" ht="15.75" customHeight="1">
      <c r="A225" s="38"/>
      <c r="B225" s="38"/>
      <c r="C225" s="38"/>
      <c r="D225" s="38"/>
      <c r="E225" s="38"/>
      <c r="F225" s="38"/>
    </row>
    <row r="226" ht="15.75" customHeight="1">
      <c r="A226" s="38"/>
      <c r="B226" s="38"/>
      <c r="C226" s="38"/>
      <c r="D226" s="38"/>
      <c r="E226" s="38"/>
      <c r="F226" s="38"/>
    </row>
    <row r="227" ht="15.75" customHeight="1">
      <c r="A227" s="38"/>
      <c r="B227" s="38"/>
      <c r="C227" s="38"/>
      <c r="D227" s="38"/>
      <c r="E227" s="38"/>
      <c r="F227" s="38"/>
    </row>
    <row r="228" ht="15.75" customHeight="1">
      <c r="A228" s="38"/>
      <c r="B228" s="38"/>
      <c r="C228" s="38"/>
      <c r="D228" s="38"/>
      <c r="E228" s="38"/>
      <c r="F228" s="38"/>
    </row>
    <row r="229" ht="15.75" customHeight="1">
      <c r="A229" s="38"/>
      <c r="B229" s="38"/>
      <c r="C229" s="38"/>
      <c r="D229" s="38"/>
      <c r="E229" s="38"/>
      <c r="F229" s="38"/>
    </row>
    <row r="230" ht="15.75" customHeight="1">
      <c r="A230" s="38"/>
      <c r="B230" s="38"/>
      <c r="C230" s="38"/>
      <c r="D230" s="38"/>
      <c r="E230" s="38"/>
      <c r="F230" s="38"/>
    </row>
    <row r="231" ht="15.75" customHeight="1">
      <c r="A231" s="38"/>
      <c r="B231" s="38"/>
      <c r="C231" s="38"/>
      <c r="D231" s="38"/>
      <c r="E231" s="38"/>
      <c r="F231" s="38"/>
    </row>
    <row r="232" ht="15.75" customHeight="1">
      <c r="A232" s="38"/>
      <c r="B232" s="38"/>
      <c r="C232" s="38"/>
      <c r="D232" s="38"/>
      <c r="E232" s="38"/>
      <c r="F232" s="38"/>
    </row>
    <row r="233" ht="15.75" customHeight="1">
      <c r="A233" s="38"/>
      <c r="B233" s="38"/>
      <c r="C233" s="38"/>
      <c r="D233" s="38"/>
      <c r="E233" s="38"/>
      <c r="F233" s="38"/>
    </row>
    <row r="234" ht="15.75" customHeight="1">
      <c r="A234" s="38"/>
      <c r="B234" s="38"/>
      <c r="C234" s="38"/>
      <c r="D234" s="38"/>
      <c r="E234" s="38"/>
      <c r="F234" s="38"/>
    </row>
    <row r="235" ht="15.75" customHeight="1">
      <c r="A235" s="38"/>
      <c r="B235" s="38"/>
      <c r="C235" s="38"/>
      <c r="D235" s="38"/>
      <c r="E235" s="38"/>
      <c r="F235" s="38"/>
    </row>
    <row r="236" ht="15.75" customHeight="1">
      <c r="A236" s="38"/>
      <c r="B236" s="38"/>
      <c r="C236" s="38"/>
      <c r="D236" s="38"/>
      <c r="E236" s="38"/>
      <c r="F236" s="38"/>
    </row>
    <row r="237" ht="15.75" customHeight="1">
      <c r="A237" s="38"/>
      <c r="B237" s="38"/>
      <c r="C237" s="38"/>
      <c r="D237" s="38"/>
      <c r="E237" s="38"/>
      <c r="F237" s="38"/>
    </row>
    <row r="238" ht="15.75" customHeight="1">
      <c r="A238" s="38"/>
      <c r="B238" s="38"/>
      <c r="C238" s="38"/>
      <c r="D238" s="38"/>
      <c r="E238" s="38"/>
      <c r="F238" s="3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D11"/>
    <mergeCell ref="B12:D12"/>
    <mergeCell ref="B14:D14"/>
    <mergeCell ref="B15:D15"/>
    <mergeCell ref="B18:D18"/>
    <mergeCell ref="B19:D19"/>
    <mergeCell ref="B20:D20"/>
    <mergeCell ref="B22:F22"/>
    <mergeCell ref="A1:E1"/>
    <mergeCell ref="A2:E2"/>
    <mergeCell ref="B4:D4"/>
    <mergeCell ref="B5:D5"/>
    <mergeCell ref="B6:D6"/>
    <mergeCell ref="B8:D8"/>
    <mergeCell ref="B9:D9"/>
  </mergeCells>
  <conditionalFormatting sqref="B19:D19">
    <cfRule type="cellIs" dxfId="4" priority="1" operator="lessThan">
      <formula>0</formula>
    </cfRule>
  </conditionalFormatting>
  <conditionalFormatting sqref="D24:D38">
    <cfRule type="cellIs" dxfId="1" priority="2" operator="equal">
      <formula>"Compra"</formula>
    </cfRule>
  </conditionalFormatting>
  <conditionalFormatting sqref="D24:D38">
    <cfRule type="cellIs" dxfId="0" priority="3" operator="equal">
      <formula>"Venta"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32.0"/>
    <col customWidth="1" min="4" max="4" width="12.0"/>
    <col customWidth="1" min="5" max="5" width="13.0"/>
    <col customWidth="1" min="6" max="7" width="14.0"/>
    <col customWidth="1" min="8" max="8" width="13.0"/>
    <col customWidth="1" min="9" max="9" width="2.0"/>
  </cols>
  <sheetData>
    <row r="1" ht="36.0" customHeight="1">
      <c r="A1" s="57" t="s">
        <v>118</v>
      </c>
      <c r="B1" s="2"/>
      <c r="C1" s="2"/>
      <c r="D1" s="2"/>
      <c r="E1" s="2"/>
      <c r="F1" s="2"/>
      <c r="G1" s="2"/>
      <c r="H1" s="2"/>
      <c r="I1" s="38"/>
    </row>
    <row r="2" ht="18.0" customHeight="1">
      <c r="A2" s="3" t="s">
        <v>119</v>
      </c>
      <c r="B2" s="2"/>
      <c r="C2" s="2"/>
      <c r="D2" s="2"/>
      <c r="E2" s="2"/>
      <c r="F2" s="2"/>
      <c r="G2" s="2"/>
      <c r="H2" s="2"/>
      <c r="I2" s="38"/>
    </row>
    <row r="3" ht="31.5" customHeight="1">
      <c r="A3" s="4" t="s">
        <v>2</v>
      </c>
      <c r="B3" s="4" t="s">
        <v>3</v>
      </c>
      <c r="C3" s="4" t="s">
        <v>5</v>
      </c>
      <c r="D3" s="4" t="s">
        <v>6</v>
      </c>
      <c r="E3" s="4" t="s">
        <v>120</v>
      </c>
      <c r="F3" s="4" t="s">
        <v>114</v>
      </c>
      <c r="G3" s="4" t="s">
        <v>121</v>
      </c>
      <c r="H3" s="4" t="s">
        <v>122</v>
      </c>
      <c r="I3" s="38"/>
    </row>
    <row r="4" ht="15.0" customHeight="1">
      <c r="A4" s="34"/>
      <c r="B4" s="6" t="str">
        <f t="array" ref="B4">IFERROR(IF(I4="","",INDEX('📦 Registro'!$B$4:$B$103,MATCH(I4,'📦 Registro'!$A$4:$A$103,0))),"")</f>
        <v/>
      </c>
      <c r="C4" s="24" t="str">
        <f t="array" ref="C4">IFERROR(IF(I4="","",INDEX('📦 Registro'!$D$4:$D$103,MATCH(I4,'📦 Registro'!$A$4:$A$103,0))),"")</f>
        <v/>
      </c>
      <c r="D4" s="6" t="str">
        <f t="array" ref="D4">IFERROR(IF(I4="","",INDEX('📦 Registro'!$E$4:$E$103,MATCH(I4,'📦 Registro'!$A$4:$A$103,0))),"")</f>
        <v/>
      </c>
      <c r="E4" s="6" t="str">
        <f t="array" ref="E4">IFERROR(IF(I4="","",INDEX('📦 Registro'!$I$4:$I$103,MATCH(I4,'📦 Registro'!$A$4:$A$103,0))),"")</f>
        <v/>
      </c>
      <c r="F4" s="29" t="str">
        <f t="array" ref="F4">IFERROR(IF(I4="","",INDEX('📦 Registro'!$C$4:$C$103,MATCH(I4,'📦 Registro'!$A$4:$A$103,0))),"")</f>
        <v/>
      </c>
      <c r="G4" s="11" t="str">
        <f t="array" ref="G4">IFERROR(IF(I4="","",INDEX('📦 Registro'!$N$4:$N$103,MATCH(I4,'📦 Registro'!$A$4:$A$103,0))),"")</f>
        <v/>
      </c>
      <c r="H4" s="58" t="str">
        <f t="shared" ref="H4:H102" si="1">IFERROR(IF(F4="","",TODAY()-F4),"")</f>
        <v/>
      </c>
      <c r="I4" s="59" t="str">
        <f t="array" ref="I4">IFERROR(INDEX(#REF!,MATCH(SMALL(IF(#REF!&lt;&gt;"",ROW(#REF!)-3),1),#REF!,0)),"")</f>
        <v/>
      </c>
    </row>
    <row r="5" ht="15.0" customHeight="1">
      <c r="A5" s="18" t="str">
        <f t="array" ref="A5">IFERROR(IF(I5="","",INDEX('📦 Registro'!$A$4:$A$103,MATCH(I5,'📦 Registro'!$A$4:$A$103,0))),"")</f>
        <v/>
      </c>
      <c r="B5" s="18" t="str">
        <f t="array" ref="B5">IFERROR(IF(I5="","",INDEX('📦 Registro'!$B$4:$B$103,MATCH(I5,'📦 Registro'!$A$4:$A$103,0))),"")</f>
        <v/>
      </c>
      <c r="C5" s="20" t="str">
        <f t="array" ref="C5">IFERROR(IF(I5="","",INDEX('📦 Registro'!$D$4:$D$103,MATCH(I5,'📦 Registro'!$A$4:$A$103,0))),"")</f>
        <v/>
      </c>
      <c r="D5" s="18" t="str">
        <f t="array" ref="D5">IFERROR(IF(I5="","",INDEX('📦 Registro'!$E$4:$E$103,MATCH(I5,'📦 Registro'!$A$4:$A$103,0))),"")</f>
        <v/>
      </c>
      <c r="E5" s="18" t="str">
        <f t="array" ref="E5">IFERROR(IF(I5="","",INDEX('📦 Registro'!$I$4:$I$103,MATCH(I5,'📦 Registro'!$A$4:$A$103,0))),"")</f>
        <v/>
      </c>
      <c r="F5" s="23" t="str">
        <f t="array" ref="F5">IFERROR(IF(I5="","",INDEX('📦 Registro'!$C$4:$C$103,MATCH(I5,'📦 Registro'!$A$4:$A$103,0))),"")</f>
        <v/>
      </c>
      <c r="G5" s="22" t="str">
        <f t="array" ref="G5">IFERROR(IF(I5="","",INDEX('📦 Registro'!$N$4:$N$103,MATCH(I5,'📦 Registro'!$A$4:$A$103,0))),"")</f>
        <v/>
      </c>
      <c r="H5" s="60" t="str">
        <f t="shared" si="1"/>
        <v/>
      </c>
      <c r="I5" s="59" t="str">
        <f t="array" ref="I5">IFERROR(INDEX(#REF!,MATCH(SMALL(IF(#REF!&lt;&gt;"",ROW(#REF!)-3),2),#REF!,0)),"")</f>
        <v/>
      </c>
    </row>
    <row r="6" ht="15.0" customHeight="1">
      <c r="A6" s="6" t="str">
        <f t="array" ref="A6">IFERROR(IF(I6="","",INDEX('📦 Registro'!$A$4:$A$103,MATCH(I6,'📦 Registro'!$A$4:$A$103,0))),"")</f>
        <v/>
      </c>
      <c r="B6" s="6" t="str">
        <f t="array" ref="B6">IFERROR(IF(I6="","",INDEX('📦 Registro'!$B$4:$B$103,MATCH(I6,'📦 Registro'!$A$4:$A$103,0))),"")</f>
        <v/>
      </c>
      <c r="C6" s="24" t="str">
        <f t="array" ref="C6">IFERROR(IF(I6="","",INDEX('📦 Registro'!$D$4:$D$103,MATCH(I6,'📦 Registro'!$A$4:$A$103,0))),"")</f>
        <v/>
      </c>
      <c r="D6" s="6" t="str">
        <f t="array" ref="D6">IFERROR(IF(I6="","",INDEX('📦 Registro'!$E$4:$E$103,MATCH(I6,'📦 Registro'!$A$4:$A$103,0))),"")</f>
        <v/>
      </c>
      <c r="E6" s="6" t="str">
        <f t="array" ref="E6">IFERROR(IF(I6="","",INDEX('📦 Registro'!$I$4:$I$103,MATCH(I6,'📦 Registro'!$A$4:$A$103,0))),"")</f>
        <v/>
      </c>
      <c r="F6" s="29" t="str">
        <f t="array" ref="F6">IFERROR(IF(I6="","",INDEX('📦 Registro'!$C$4:$C$103,MATCH(I6,'📦 Registro'!$A$4:$A$103,0))),"")</f>
        <v/>
      </c>
      <c r="G6" s="11" t="str">
        <f t="array" ref="G6">IFERROR(IF(I6="","",INDEX('📦 Registro'!$N$4:$N$103,MATCH(I6,'📦 Registro'!$A$4:$A$103,0))),"")</f>
        <v/>
      </c>
      <c r="H6" s="58" t="str">
        <f t="shared" si="1"/>
        <v/>
      </c>
      <c r="I6" s="59" t="str">
        <f t="array" ref="I6">IFERROR(INDEX(#REF!,MATCH(SMALL(IF(#REF!&lt;&gt;"",ROW(#REF!)-3),3),#REF!,0)),"")</f>
        <v/>
      </c>
    </row>
    <row r="7" ht="15.0" customHeight="1">
      <c r="A7" s="18" t="str">
        <f t="array" ref="A7">IFERROR(IF(I7="","",INDEX('📦 Registro'!$A$4:$A$103,MATCH(I7,'📦 Registro'!$A$4:$A$103,0))),"")</f>
        <v/>
      </c>
      <c r="B7" s="18" t="str">
        <f t="array" ref="B7">IFERROR(IF(I7="","",INDEX('📦 Registro'!$B$4:$B$103,MATCH(I7,'📦 Registro'!$A$4:$A$103,0))),"")</f>
        <v/>
      </c>
      <c r="C7" s="20" t="str">
        <f t="array" ref="C7">IFERROR(IF(I7="","",INDEX('📦 Registro'!$D$4:$D$103,MATCH(I7,'📦 Registro'!$A$4:$A$103,0))),"")</f>
        <v/>
      </c>
      <c r="D7" s="18" t="str">
        <f t="array" ref="D7">IFERROR(IF(I7="","",INDEX('📦 Registro'!$E$4:$E$103,MATCH(I7,'📦 Registro'!$A$4:$A$103,0))),"")</f>
        <v/>
      </c>
      <c r="E7" s="18" t="str">
        <f t="array" ref="E7">IFERROR(IF(I7="","",INDEX('📦 Registro'!$I$4:$I$103,MATCH(I7,'📦 Registro'!$A$4:$A$103,0))),"")</f>
        <v/>
      </c>
      <c r="F7" s="23" t="str">
        <f t="array" ref="F7">IFERROR(IF(I7="","",INDEX('📦 Registro'!$C$4:$C$103,MATCH(I7,'📦 Registro'!$A$4:$A$103,0))),"")</f>
        <v/>
      </c>
      <c r="G7" s="22" t="str">
        <f t="array" ref="G7">IFERROR(IF(I7="","",INDEX('📦 Registro'!$N$4:$N$103,MATCH(I7,'📦 Registro'!$A$4:$A$103,0))),"")</f>
        <v/>
      </c>
      <c r="H7" s="60" t="str">
        <f t="shared" si="1"/>
        <v/>
      </c>
      <c r="I7" s="59" t="str">
        <f t="array" ref="I7">IFERROR(INDEX(#REF!,MATCH(SMALL(IF(#REF!&lt;&gt;"",ROW(#REF!)-3),4),#REF!,0)),"")</f>
        <v/>
      </c>
    </row>
    <row r="8" ht="15.0" customHeight="1">
      <c r="A8" s="6" t="str">
        <f t="array" ref="A8">IFERROR(IF(I8="","",INDEX('📦 Registro'!$A$4:$A$103,MATCH(I8,'📦 Registro'!$A$4:$A$103,0))),"")</f>
        <v/>
      </c>
      <c r="B8" s="6" t="str">
        <f t="array" ref="B8">IFERROR(IF(I8="","",INDEX('📦 Registro'!$B$4:$B$103,MATCH(I8,'📦 Registro'!$A$4:$A$103,0))),"")</f>
        <v/>
      </c>
      <c r="C8" s="24" t="str">
        <f t="array" ref="C8">IFERROR(IF(I8="","",INDEX('📦 Registro'!$D$4:$D$103,MATCH(I8,'📦 Registro'!$A$4:$A$103,0))),"")</f>
        <v/>
      </c>
      <c r="D8" s="6" t="str">
        <f t="array" ref="D8">IFERROR(IF(I8="","",INDEX('📦 Registro'!$E$4:$E$103,MATCH(I8,'📦 Registro'!$A$4:$A$103,0))),"")</f>
        <v/>
      </c>
      <c r="E8" s="6" t="str">
        <f t="array" ref="E8">IFERROR(IF(I8="","",INDEX('📦 Registro'!$I$4:$I$103,MATCH(I8,'📦 Registro'!$A$4:$A$103,0))),"")</f>
        <v/>
      </c>
      <c r="F8" s="29" t="str">
        <f t="array" ref="F8">IFERROR(IF(I8="","",INDEX('📦 Registro'!$C$4:$C$103,MATCH(I8,'📦 Registro'!$A$4:$A$103,0))),"")</f>
        <v/>
      </c>
      <c r="G8" s="11" t="str">
        <f t="array" ref="G8">IFERROR(IF(I8="","",INDEX('📦 Registro'!$N$4:$N$103,MATCH(I8,'📦 Registro'!$A$4:$A$103,0))),"")</f>
        <v/>
      </c>
      <c r="H8" s="58" t="str">
        <f t="shared" si="1"/>
        <v/>
      </c>
      <c r="I8" s="59" t="str">
        <f t="array" ref="I8">IFERROR(INDEX(#REF!,MATCH(SMALL(IF(#REF!&lt;&gt;"",ROW(#REF!)-3),5),#REF!,0)),"")</f>
        <v/>
      </c>
    </row>
    <row r="9" ht="15.0" customHeight="1">
      <c r="A9" s="18" t="str">
        <f t="array" ref="A9">IFERROR(IF(I9="","",INDEX('📦 Registro'!$A$4:$A$103,MATCH(I9,'📦 Registro'!$A$4:$A$103,0))),"")</f>
        <v/>
      </c>
      <c r="B9" s="18" t="str">
        <f t="array" ref="B9">IFERROR(IF(I9="","",INDEX('📦 Registro'!$B$4:$B$103,MATCH(I9,'📦 Registro'!$A$4:$A$103,0))),"")</f>
        <v/>
      </c>
      <c r="C9" s="20" t="str">
        <f t="array" ref="C9">IFERROR(IF(I9="","",INDEX('📦 Registro'!$D$4:$D$103,MATCH(I9,'📦 Registro'!$A$4:$A$103,0))),"")</f>
        <v/>
      </c>
      <c r="D9" s="18" t="str">
        <f t="array" ref="D9">IFERROR(IF(I9="","",INDEX('📦 Registro'!$E$4:$E$103,MATCH(I9,'📦 Registro'!$A$4:$A$103,0))),"")</f>
        <v/>
      </c>
      <c r="E9" s="18" t="str">
        <f t="array" ref="E9">IFERROR(IF(I9="","",INDEX('📦 Registro'!$I$4:$I$103,MATCH(I9,'📦 Registro'!$A$4:$A$103,0))),"")</f>
        <v/>
      </c>
      <c r="F9" s="23" t="str">
        <f t="array" ref="F9">IFERROR(IF(I9="","",INDEX('📦 Registro'!$C$4:$C$103,MATCH(I9,'📦 Registro'!$A$4:$A$103,0))),"")</f>
        <v/>
      </c>
      <c r="G9" s="22" t="str">
        <f t="array" ref="G9">IFERROR(IF(I9="","",INDEX('📦 Registro'!$N$4:$N$103,MATCH(I9,'📦 Registro'!$A$4:$A$103,0))),"")</f>
        <v/>
      </c>
      <c r="H9" s="60" t="str">
        <f t="shared" si="1"/>
        <v/>
      </c>
      <c r="I9" s="59" t="str">
        <f t="array" ref="I9">IFERROR(INDEX(#REF!,MATCH(SMALL(IF(#REF!&lt;&gt;"",ROW(#REF!)-3),6),#REF!,0)),"")</f>
        <v/>
      </c>
    </row>
    <row r="10" ht="15.0" customHeight="1">
      <c r="A10" s="6" t="str">
        <f t="array" ref="A10">IFERROR(IF(I10="","",INDEX('📦 Registro'!$A$4:$A$103,MATCH(I10,'📦 Registro'!$A$4:$A$103,0))),"")</f>
        <v/>
      </c>
      <c r="B10" s="6" t="str">
        <f t="array" ref="B10">IFERROR(IF(I10="","",INDEX('📦 Registro'!$B$4:$B$103,MATCH(I10,'📦 Registro'!$A$4:$A$103,0))),"")</f>
        <v/>
      </c>
      <c r="C10" s="24" t="str">
        <f t="array" ref="C10">IFERROR(IF(I10="","",INDEX('📦 Registro'!$D$4:$D$103,MATCH(I10,'📦 Registro'!$A$4:$A$103,0))),"")</f>
        <v/>
      </c>
      <c r="D10" s="6" t="str">
        <f t="array" ref="D10">IFERROR(IF(I10="","",INDEX('📦 Registro'!$E$4:$E$103,MATCH(I10,'📦 Registro'!$A$4:$A$103,0))),"")</f>
        <v/>
      </c>
      <c r="E10" s="6" t="str">
        <f t="array" ref="E10">IFERROR(IF(I10="","",INDEX('📦 Registro'!$I$4:$I$103,MATCH(I10,'📦 Registro'!$A$4:$A$103,0))),"")</f>
        <v/>
      </c>
      <c r="F10" s="29" t="str">
        <f t="array" ref="F10">IFERROR(IF(I10="","",INDEX('📦 Registro'!$C$4:$C$103,MATCH(I10,'📦 Registro'!$A$4:$A$103,0))),"")</f>
        <v/>
      </c>
      <c r="G10" s="11" t="str">
        <f t="array" ref="G10">IFERROR(IF(I10="","",INDEX('📦 Registro'!$N$4:$N$103,MATCH(I10,'📦 Registro'!$A$4:$A$103,0))),"")</f>
        <v/>
      </c>
      <c r="H10" s="58" t="str">
        <f t="shared" si="1"/>
        <v/>
      </c>
      <c r="I10" s="59" t="str">
        <f t="array" ref="I10">IFERROR(INDEX(#REF!,MATCH(SMALL(IF(#REF!&lt;&gt;"",ROW(#REF!)-3),7),#REF!,0)),"")</f>
        <v/>
      </c>
    </row>
    <row r="11" ht="15.0" customHeight="1">
      <c r="A11" s="18" t="str">
        <f t="array" ref="A11">IFERROR(IF(I11="","",INDEX('📦 Registro'!$A$4:$A$103,MATCH(I11,'📦 Registro'!$A$4:$A$103,0))),"")</f>
        <v/>
      </c>
      <c r="B11" s="18" t="str">
        <f t="array" ref="B11">IFERROR(IF(I11="","",INDEX('📦 Registro'!$B$4:$B$103,MATCH(I11,'📦 Registro'!$A$4:$A$103,0))),"")</f>
        <v/>
      </c>
      <c r="C11" s="20" t="str">
        <f t="array" ref="C11">IFERROR(IF(I11="","",INDEX('📦 Registro'!$D$4:$D$103,MATCH(I11,'📦 Registro'!$A$4:$A$103,0))),"")</f>
        <v/>
      </c>
      <c r="D11" s="18" t="str">
        <f t="array" ref="D11">IFERROR(IF(I11="","",INDEX('📦 Registro'!$E$4:$E$103,MATCH(I11,'📦 Registro'!$A$4:$A$103,0))),"")</f>
        <v/>
      </c>
      <c r="E11" s="18" t="str">
        <f t="array" ref="E11">IFERROR(IF(I11="","",INDEX('📦 Registro'!$I$4:$I$103,MATCH(I11,'📦 Registro'!$A$4:$A$103,0))),"")</f>
        <v/>
      </c>
      <c r="F11" s="23" t="str">
        <f t="array" ref="F11">IFERROR(IF(I11="","",INDEX('📦 Registro'!$C$4:$C$103,MATCH(I11,'📦 Registro'!$A$4:$A$103,0))),"")</f>
        <v/>
      </c>
      <c r="G11" s="22" t="str">
        <f t="array" ref="G11">IFERROR(IF(I11="","",INDEX('📦 Registro'!$N$4:$N$103,MATCH(I11,'📦 Registro'!$A$4:$A$103,0))),"")</f>
        <v/>
      </c>
      <c r="H11" s="60" t="str">
        <f t="shared" si="1"/>
        <v/>
      </c>
      <c r="I11" s="59" t="str">
        <f t="array" ref="I11">IFERROR(INDEX(#REF!,MATCH(SMALL(IF(#REF!&lt;&gt;"",ROW(#REF!)-3),8),#REF!,0)),"")</f>
        <v/>
      </c>
    </row>
    <row r="12" ht="15.0" customHeight="1">
      <c r="A12" s="6" t="str">
        <f t="array" ref="A12">IFERROR(IF(I12="","",INDEX('📦 Registro'!$A$4:$A$103,MATCH(I12,'📦 Registro'!$A$4:$A$103,0))),"")</f>
        <v/>
      </c>
      <c r="B12" s="6" t="str">
        <f t="array" ref="B12">IFERROR(IF(I12="","",INDEX('📦 Registro'!$B$4:$B$103,MATCH(I12,'📦 Registro'!$A$4:$A$103,0))),"")</f>
        <v/>
      </c>
      <c r="C12" s="24" t="str">
        <f t="array" ref="C12">IFERROR(IF(I12="","",INDEX('📦 Registro'!$D$4:$D$103,MATCH(I12,'📦 Registro'!$A$4:$A$103,0))),"")</f>
        <v/>
      </c>
      <c r="D12" s="6" t="str">
        <f t="array" ref="D12">IFERROR(IF(I12="","",INDEX('📦 Registro'!$E$4:$E$103,MATCH(I12,'📦 Registro'!$A$4:$A$103,0))),"")</f>
        <v/>
      </c>
      <c r="E12" s="6" t="str">
        <f t="array" ref="E12">IFERROR(IF(I12="","",INDEX('📦 Registro'!$I$4:$I$103,MATCH(I12,'📦 Registro'!$A$4:$A$103,0))),"")</f>
        <v/>
      </c>
      <c r="F12" s="29" t="str">
        <f t="array" ref="F12">IFERROR(IF(I12="","",INDEX('📦 Registro'!$C$4:$C$103,MATCH(I12,'📦 Registro'!$A$4:$A$103,0))),"")</f>
        <v/>
      </c>
      <c r="G12" s="11" t="str">
        <f t="array" ref="G12">IFERROR(IF(I12="","",INDEX('📦 Registro'!$N$4:$N$103,MATCH(I12,'📦 Registro'!$A$4:$A$103,0))),"")</f>
        <v/>
      </c>
      <c r="H12" s="58" t="str">
        <f t="shared" si="1"/>
        <v/>
      </c>
      <c r="I12" s="59" t="str">
        <f t="array" ref="I12">IFERROR(INDEX(#REF!,MATCH(SMALL(IF(#REF!&lt;&gt;"",ROW(#REF!)-3),9),#REF!,0)),"")</f>
        <v/>
      </c>
    </row>
    <row r="13" ht="15.0" customHeight="1">
      <c r="A13" s="18" t="str">
        <f t="array" ref="A13">IFERROR(IF(I13="","",INDEX('📦 Registro'!$A$4:$A$103,MATCH(I13,'📦 Registro'!$A$4:$A$103,0))),"")</f>
        <v/>
      </c>
      <c r="B13" s="18" t="str">
        <f t="array" ref="B13">IFERROR(IF(I13="","",INDEX('📦 Registro'!$B$4:$B$103,MATCH(I13,'📦 Registro'!$A$4:$A$103,0))),"")</f>
        <v/>
      </c>
      <c r="C13" s="20" t="str">
        <f t="array" ref="C13">IFERROR(IF(I13="","",INDEX('📦 Registro'!$D$4:$D$103,MATCH(I13,'📦 Registro'!$A$4:$A$103,0))),"")</f>
        <v/>
      </c>
      <c r="D13" s="18" t="str">
        <f t="array" ref="D13">IFERROR(IF(I13="","",INDEX('📦 Registro'!$E$4:$E$103,MATCH(I13,'📦 Registro'!$A$4:$A$103,0))),"")</f>
        <v/>
      </c>
      <c r="E13" s="18" t="str">
        <f t="array" ref="E13">IFERROR(IF(I13="","",INDEX('📦 Registro'!$I$4:$I$103,MATCH(I13,'📦 Registro'!$A$4:$A$103,0))),"")</f>
        <v/>
      </c>
      <c r="F13" s="23" t="str">
        <f t="array" ref="F13">IFERROR(IF(I13="","",INDEX('📦 Registro'!$C$4:$C$103,MATCH(I13,'📦 Registro'!$A$4:$A$103,0))),"")</f>
        <v/>
      </c>
      <c r="G13" s="22" t="str">
        <f t="array" ref="G13">IFERROR(IF(I13="","",INDEX('📦 Registro'!$N$4:$N$103,MATCH(I13,'📦 Registro'!$A$4:$A$103,0))),"")</f>
        <v/>
      </c>
      <c r="H13" s="60" t="str">
        <f t="shared" si="1"/>
        <v/>
      </c>
      <c r="I13" s="59" t="str">
        <f t="array" ref="I13">IFERROR(INDEX(#REF!,MATCH(SMALL(IF(#REF!&lt;&gt;"",ROW(#REF!)-3),10),#REF!,0)),"")</f>
        <v/>
      </c>
    </row>
    <row r="14" ht="15.0" customHeight="1">
      <c r="A14" s="6" t="str">
        <f t="array" ref="A14">IFERROR(IF(I14="","",INDEX('📦 Registro'!$A$4:$A$103,MATCH(I14,'📦 Registro'!$A$4:$A$103,0))),"")</f>
        <v/>
      </c>
      <c r="B14" s="6" t="str">
        <f t="array" ref="B14">IFERROR(IF(I14="","",INDEX('📦 Registro'!$B$4:$B$103,MATCH(I14,'📦 Registro'!$A$4:$A$103,0))),"")</f>
        <v/>
      </c>
      <c r="C14" s="24" t="str">
        <f t="array" ref="C14">IFERROR(IF(I14="","",INDEX('📦 Registro'!$D$4:$D$103,MATCH(I14,'📦 Registro'!$A$4:$A$103,0))),"")</f>
        <v/>
      </c>
      <c r="D14" s="6" t="str">
        <f t="array" ref="D14">IFERROR(IF(I14="","",INDEX('📦 Registro'!$E$4:$E$103,MATCH(I14,'📦 Registro'!$A$4:$A$103,0))),"")</f>
        <v/>
      </c>
      <c r="E14" s="6" t="str">
        <f t="array" ref="E14">IFERROR(IF(I14="","",INDEX('📦 Registro'!$I$4:$I$103,MATCH(I14,'📦 Registro'!$A$4:$A$103,0))),"")</f>
        <v/>
      </c>
      <c r="F14" s="29" t="str">
        <f t="array" ref="F14">IFERROR(IF(I14="","",INDEX('📦 Registro'!$C$4:$C$103,MATCH(I14,'📦 Registro'!$A$4:$A$103,0))),"")</f>
        <v/>
      </c>
      <c r="G14" s="11" t="str">
        <f t="array" ref="G14">IFERROR(IF(I14="","",INDEX('📦 Registro'!$N$4:$N$103,MATCH(I14,'📦 Registro'!$A$4:$A$103,0))),"")</f>
        <v/>
      </c>
      <c r="H14" s="58" t="str">
        <f t="shared" si="1"/>
        <v/>
      </c>
      <c r="I14" s="59" t="str">
        <f t="array" ref="I14">IFERROR(INDEX(#REF!,MATCH(SMALL(IF(#REF!&lt;&gt;"",ROW(#REF!)-3),11),#REF!,0)),"")</f>
        <v/>
      </c>
    </row>
    <row r="15" ht="15.0" customHeight="1">
      <c r="A15" s="18" t="str">
        <f t="array" ref="A15">IFERROR(IF(I15="","",INDEX('📦 Registro'!$A$4:$A$103,MATCH(I15,'📦 Registro'!$A$4:$A$103,0))),"")</f>
        <v/>
      </c>
      <c r="B15" s="18" t="str">
        <f t="array" ref="B15">IFERROR(IF(I15="","",INDEX('📦 Registro'!$B$4:$B$103,MATCH(I15,'📦 Registro'!$A$4:$A$103,0))),"")</f>
        <v/>
      </c>
      <c r="C15" s="20" t="str">
        <f t="array" ref="C15">IFERROR(IF(I15="","",INDEX('📦 Registro'!$D$4:$D$103,MATCH(I15,'📦 Registro'!$A$4:$A$103,0))),"")</f>
        <v/>
      </c>
      <c r="D15" s="18" t="str">
        <f t="array" ref="D15">IFERROR(IF(I15="","",INDEX('📦 Registro'!$E$4:$E$103,MATCH(I15,'📦 Registro'!$A$4:$A$103,0))),"")</f>
        <v/>
      </c>
      <c r="E15" s="18" t="str">
        <f t="array" ref="E15">IFERROR(IF(I15="","",INDEX('📦 Registro'!$I$4:$I$103,MATCH(I15,'📦 Registro'!$A$4:$A$103,0))),"")</f>
        <v/>
      </c>
      <c r="F15" s="23" t="str">
        <f t="array" ref="F15">IFERROR(IF(I15="","",INDEX('📦 Registro'!$C$4:$C$103,MATCH(I15,'📦 Registro'!$A$4:$A$103,0))),"")</f>
        <v/>
      </c>
      <c r="G15" s="22" t="str">
        <f t="array" ref="G15">IFERROR(IF(I15="","",INDEX('📦 Registro'!$N$4:$N$103,MATCH(I15,'📦 Registro'!$A$4:$A$103,0))),"")</f>
        <v/>
      </c>
      <c r="H15" s="60" t="str">
        <f t="shared" si="1"/>
        <v/>
      </c>
      <c r="I15" s="59" t="str">
        <f t="array" ref="I15">IFERROR(INDEX(#REF!,MATCH(SMALL(IF(#REF!&lt;&gt;"",ROW(#REF!)-3),12),#REF!,0)),"")</f>
        <v/>
      </c>
    </row>
    <row r="16" ht="15.0" customHeight="1">
      <c r="A16" s="6" t="str">
        <f t="array" ref="A16">IFERROR(IF(I16="","",INDEX('📦 Registro'!$A$4:$A$103,MATCH(I16,'📦 Registro'!$A$4:$A$103,0))),"")</f>
        <v/>
      </c>
      <c r="B16" s="6" t="str">
        <f t="array" ref="B16">IFERROR(IF(I16="","",INDEX('📦 Registro'!$B$4:$B$103,MATCH(I16,'📦 Registro'!$A$4:$A$103,0))),"")</f>
        <v/>
      </c>
      <c r="C16" s="24" t="str">
        <f t="array" ref="C16">IFERROR(IF(I16="","",INDEX('📦 Registro'!$D$4:$D$103,MATCH(I16,'📦 Registro'!$A$4:$A$103,0))),"")</f>
        <v/>
      </c>
      <c r="D16" s="6" t="str">
        <f t="array" ref="D16">IFERROR(IF(I16="","",INDEX('📦 Registro'!$E$4:$E$103,MATCH(I16,'📦 Registro'!$A$4:$A$103,0))),"")</f>
        <v/>
      </c>
      <c r="E16" s="6" t="str">
        <f t="array" ref="E16">IFERROR(IF(I16="","",INDEX('📦 Registro'!$I$4:$I$103,MATCH(I16,'📦 Registro'!$A$4:$A$103,0))),"")</f>
        <v/>
      </c>
      <c r="F16" s="29" t="str">
        <f t="array" ref="F16">IFERROR(IF(I16="","",INDEX('📦 Registro'!$C$4:$C$103,MATCH(I16,'📦 Registro'!$A$4:$A$103,0))),"")</f>
        <v/>
      </c>
      <c r="G16" s="11" t="str">
        <f t="array" ref="G16">IFERROR(IF(I16="","",INDEX('📦 Registro'!$N$4:$N$103,MATCH(I16,'📦 Registro'!$A$4:$A$103,0))),"")</f>
        <v/>
      </c>
      <c r="H16" s="58" t="str">
        <f t="shared" si="1"/>
        <v/>
      </c>
      <c r="I16" s="59" t="str">
        <f t="array" ref="I16">IFERROR(INDEX(#REF!,MATCH(SMALL(IF(#REF!&lt;&gt;"",ROW(#REF!)-3),13),#REF!,0)),"")</f>
        <v/>
      </c>
    </row>
    <row r="17" ht="15.0" customHeight="1">
      <c r="A17" s="18" t="str">
        <f t="array" ref="A17">IFERROR(IF(I17="","",INDEX('📦 Registro'!$A$4:$A$103,MATCH(I17,'📦 Registro'!$A$4:$A$103,0))),"")</f>
        <v/>
      </c>
      <c r="B17" s="18" t="str">
        <f t="array" ref="B17">IFERROR(IF(I17="","",INDEX('📦 Registro'!$B$4:$B$103,MATCH(I17,'📦 Registro'!$A$4:$A$103,0))),"")</f>
        <v/>
      </c>
      <c r="C17" s="20" t="str">
        <f t="array" ref="C17">IFERROR(IF(I17="","",INDEX('📦 Registro'!$D$4:$D$103,MATCH(I17,'📦 Registro'!$A$4:$A$103,0))),"")</f>
        <v/>
      </c>
      <c r="D17" s="18" t="str">
        <f t="array" ref="D17">IFERROR(IF(I17="","",INDEX('📦 Registro'!$E$4:$E$103,MATCH(I17,'📦 Registro'!$A$4:$A$103,0))),"")</f>
        <v/>
      </c>
      <c r="E17" s="18" t="str">
        <f t="array" ref="E17">IFERROR(IF(I17="","",INDEX('📦 Registro'!$I$4:$I$103,MATCH(I17,'📦 Registro'!$A$4:$A$103,0))),"")</f>
        <v/>
      </c>
      <c r="F17" s="23" t="str">
        <f t="array" ref="F17">IFERROR(IF(I17="","",INDEX('📦 Registro'!$C$4:$C$103,MATCH(I17,'📦 Registro'!$A$4:$A$103,0))),"")</f>
        <v/>
      </c>
      <c r="G17" s="22" t="str">
        <f t="array" ref="G17">IFERROR(IF(I17="","",INDEX('📦 Registro'!$N$4:$N$103,MATCH(I17,'📦 Registro'!$A$4:$A$103,0))),"")</f>
        <v/>
      </c>
      <c r="H17" s="60" t="str">
        <f t="shared" si="1"/>
        <v/>
      </c>
      <c r="I17" s="59" t="str">
        <f t="array" ref="I17">IFERROR(INDEX(#REF!,MATCH(SMALL(IF(#REF!&lt;&gt;"",ROW(#REF!)-3),14),#REF!,0)),"")</f>
        <v/>
      </c>
    </row>
    <row r="18" ht="15.0" customHeight="1">
      <c r="A18" s="6" t="str">
        <f t="array" ref="A18">IFERROR(IF(I18="","",INDEX('📦 Registro'!$A$4:$A$103,MATCH(I18,'📦 Registro'!$A$4:$A$103,0))),"")</f>
        <v/>
      </c>
      <c r="B18" s="6" t="str">
        <f t="array" ref="B18">IFERROR(IF(I18="","",INDEX('📦 Registro'!$B$4:$B$103,MATCH(I18,'📦 Registro'!$A$4:$A$103,0))),"")</f>
        <v/>
      </c>
      <c r="C18" s="24" t="str">
        <f t="array" ref="C18">IFERROR(IF(I18="","",INDEX('📦 Registro'!$D$4:$D$103,MATCH(I18,'📦 Registro'!$A$4:$A$103,0))),"")</f>
        <v/>
      </c>
      <c r="D18" s="6" t="str">
        <f t="array" ref="D18">IFERROR(IF(I18="","",INDEX('📦 Registro'!$E$4:$E$103,MATCH(I18,'📦 Registro'!$A$4:$A$103,0))),"")</f>
        <v/>
      </c>
      <c r="E18" s="6" t="str">
        <f t="array" ref="E18">IFERROR(IF(I18="","",INDEX('📦 Registro'!$I$4:$I$103,MATCH(I18,'📦 Registro'!$A$4:$A$103,0))),"")</f>
        <v/>
      </c>
      <c r="F18" s="29" t="str">
        <f t="array" ref="F18">IFERROR(IF(I18="","",INDEX('📦 Registro'!$C$4:$C$103,MATCH(I18,'📦 Registro'!$A$4:$A$103,0))),"")</f>
        <v/>
      </c>
      <c r="G18" s="11" t="str">
        <f t="array" ref="G18">IFERROR(IF(I18="","",INDEX('📦 Registro'!$N$4:$N$103,MATCH(I18,'📦 Registro'!$A$4:$A$103,0))),"")</f>
        <v/>
      </c>
      <c r="H18" s="58" t="str">
        <f t="shared" si="1"/>
        <v/>
      </c>
      <c r="I18" s="59" t="str">
        <f t="array" ref="I18">IFERROR(INDEX(#REF!,MATCH(SMALL(IF(#REF!&lt;&gt;"",ROW(#REF!)-3),15),#REF!,0)),"")</f>
        <v/>
      </c>
    </row>
    <row r="19" ht="15.0" customHeight="1">
      <c r="A19" s="18" t="str">
        <f t="array" ref="A19">IFERROR(IF(I19="","",INDEX('📦 Registro'!$A$4:$A$103,MATCH(I19,'📦 Registro'!$A$4:$A$103,0))),"")</f>
        <v/>
      </c>
      <c r="B19" s="18" t="str">
        <f t="array" ref="B19">IFERROR(IF(I19="","",INDEX('📦 Registro'!$B$4:$B$103,MATCH(I19,'📦 Registro'!$A$4:$A$103,0))),"")</f>
        <v/>
      </c>
      <c r="C19" s="20" t="str">
        <f t="array" ref="C19">IFERROR(IF(I19="","",INDEX('📦 Registro'!$D$4:$D$103,MATCH(I19,'📦 Registro'!$A$4:$A$103,0))),"")</f>
        <v/>
      </c>
      <c r="D19" s="18" t="str">
        <f t="array" ref="D19">IFERROR(IF(I19="","",INDEX('📦 Registro'!$E$4:$E$103,MATCH(I19,'📦 Registro'!$A$4:$A$103,0))),"")</f>
        <v/>
      </c>
      <c r="E19" s="18" t="str">
        <f t="array" ref="E19">IFERROR(IF(I19="","",INDEX('📦 Registro'!$I$4:$I$103,MATCH(I19,'📦 Registro'!$A$4:$A$103,0))),"")</f>
        <v/>
      </c>
      <c r="F19" s="23" t="str">
        <f t="array" ref="F19">IFERROR(IF(I19="","",INDEX('📦 Registro'!$C$4:$C$103,MATCH(I19,'📦 Registro'!$A$4:$A$103,0))),"")</f>
        <v/>
      </c>
      <c r="G19" s="22" t="str">
        <f t="array" ref="G19">IFERROR(IF(I19="","",INDEX('📦 Registro'!$N$4:$N$103,MATCH(I19,'📦 Registro'!$A$4:$A$103,0))),"")</f>
        <v/>
      </c>
      <c r="H19" s="60" t="str">
        <f t="shared" si="1"/>
        <v/>
      </c>
      <c r="I19" s="59" t="str">
        <f t="array" ref="I19">IFERROR(INDEX(#REF!,MATCH(SMALL(IF(#REF!&lt;&gt;"",ROW(#REF!)-3),16),#REF!,0)),"")</f>
        <v/>
      </c>
    </row>
    <row r="20" ht="15.0" customHeight="1">
      <c r="A20" s="6" t="str">
        <f t="array" ref="A20">IFERROR(IF(I20="","",INDEX('📦 Registro'!$A$4:$A$103,MATCH(I20,'📦 Registro'!$A$4:$A$103,0))),"")</f>
        <v/>
      </c>
      <c r="B20" s="6" t="str">
        <f t="array" ref="B20">IFERROR(IF(I20="","",INDEX('📦 Registro'!$B$4:$B$103,MATCH(I20,'📦 Registro'!$A$4:$A$103,0))),"")</f>
        <v/>
      </c>
      <c r="C20" s="24" t="str">
        <f t="array" ref="C20">IFERROR(IF(I20="","",INDEX('📦 Registro'!$D$4:$D$103,MATCH(I20,'📦 Registro'!$A$4:$A$103,0))),"")</f>
        <v/>
      </c>
      <c r="D20" s="6" t="str">
        <f t="array" ref="D20">IFERROR(IF(I20="","",INDEX('📦 Registro'!$E$4:$E$103,MATCH(I20,'📦 Registro'!$A$4:$A$103,0))),"")</f>
        <v/>
      </c>
      <c r="E20" s="6" t="str">
        <f t="array" ref="E20">IFERROR(IF(I20="","",INDEX('📦 Registro'!$I$4:$I$103,MATCH(I20,'📦 Registro'!$A$4:$A$103,0))),"")</f>
        <v/>
      </c>
      <c r="F20" s="29" t="str">
        <f t="array" ref="F20">IFERROR(IF(I20="","",INDEX('📦 Registro'!$C$4:$C$103,MATCH(I20,'📦 Registro'!$A$4:$A$103,0))),"")</f>
        <v/>
      </c>
      <c r="G20" s="11" t="str">
        <f t="array" ref="G20">IFERROR(IF(I20="","",INDEX('📦 Registro'!$N$4:$N$103,MATCH(I20,'📦 Registro'!$A$4:$A$103,0))),"")</f>
        <v/>
      </c>
      <c r="H20" s="58" t="str">
        <f t="shared" si="1"/>
        <v/>
      </c>
      <c r="I20" s="59" t="str">
        <f t="array" ref="I20">IFERROR(INDEX(#REF!,MATCH(SMALL(IF(#REF!&lt;&gt;"",ROW(#REF!)-3),17),#REF!,0)),"")</f>
        <v/>
      </c>
    </row>
    <row r="21" ht="15.0" customHeight="1">
      <c r="A21" s="18" t="str">
        <f t="array" ref="A21">IFERROR(IF(I21="","",INDEX('📦 Registro'!$A$4:$A$103,MATCH(I21,'📦 Registro'!$A$4:$A$103,0))),"")</f>
        <v/>
      </c>
      <c r="B21" s="18" t="str">
        <f t="array" ref="B21">IFERROR(IF(I21="","",INDEX('📦 Registro'!$B$4:$B$103,MATCH(I21,'📦 Registro'!$A$4:$A$103,0))),"")</f>
        <v/>
      </c>
      <c r="C21" s="20" t="str">
        <f t="array" ref="C21">IFERROR(IF(I21="","",INDEX('📦 Registro'!$D$4:$D$103,MATCH(I21,'📦 Registro'!$A$4:$A$103,0))),"")</f>
        <v/>
      </c>
      <c r="D21" s="18" t="str">
        <f t="array" ref="D21">IFERROR(IF(I21="","",INDEX('📦 Registro'!$E$4:$E$103,MATCH(I21,'📦 Registro'!$A$4:$A$103,0))),"")</f>
        <v/>
      </c>
      <c r="E21" s="18" t="str">
        <f t="array" ref="E21">IFERROR(IF(I21="","",INDEX('📦 Registro'!$I$4:$I$103,MATCH(I21,'📦 Registro'!$A$4:$A$103,0))),"")</f>
        <v/>
      </c>
      <c r="F21" s="23" t="str">
        <f t="array" ref="F21">IFERROR(IF(I21="","",INDEX('📦 Registro'!$C$4:$C$103,MATCH(I21,'📦 Registro'!$A$4:$A$103,0))),"")</f>
        <v/>
      </c>
      <c r="G21" s="22" t="str">
        <f t="array" ref="G21">IFERROR(IF(I21="","",INDEX('📦 Registro'!$N$4:$N$103,MATCH(I21,'📦 Registro'!$A$4:$A$103,0))),"")</f>
        <v/>
      </c>
      <c r="H21" s="60" t="str">
        <f t="shared" si="1"/>
        <v/>
      </c>
      <c r="I21" s="59" t="str">
        <f t="array" ref="I21">IFERROR(INDEX(#REF!,MATCH(SMALL(IF(#REF!&lt;&gt;"",ROW(#REF!)-3),18),#REF!,0)),"")</f>
        <v/>
      </c>
    </row>
    <row r="22" ht="15.0" customHeight="1">
      <c r="A22" s="6" t="str">
        <f t="array" ref="A22">IFERROR(IF(I22="","",INDEX('📦 Registro'!$A$4:$A$103,MATCH(I22,'📦 Registro'!$A$4:$A$103,0))),"")</f>
        <v/>
      </c>
      <c r="B22" s="6" t="str">
        <f t="array" ref="B22">IFERROR(IF(I22="","",INDEX('📦 Registro'!$B$4:$B$103,MATCH(I22,'📦 Registro'!$A$4:$A$103,0))),"")</f>
        <v/>
      </c>
      <c r="C22" s="24" t="str">
        <f t="array" ref="C22">IFERROR(IF(I22="","",INDEX('📦 Registro'!$D$4:$D$103,MATCH(I22,'📦 Registro'!$A$4:$A$103,0))),"")</f>
        <v/>
      </c>
      <c r="D22" s="6" t="str">
        <f t="array" ref="D22">IFERROR(IF(I22="","",INDEX('📦 Registro'!$E$4:$E$103,MATCH(I22,'📦 Registro'!$A$4:$A$103,0))),"")</f>
        <v/>
      </c>
      <c r="E22" s="6" t="str">
        <f t="array" ref="E22">IFERROR(IF(I22="","",INDEX('📦 Registro'!$I$4:$I$103,MATCH(I22,'📦 Registro'!$A$4:$A$103,0))),"")</f>
        <v/>
      </c>
      <c r="F22" s="29" t="str">
        <f t="array" ref="F22">IFERROR(IF(I22="","",INDEX('📦 Registro'!$C$4:$C$103,MATCH(I22,'📦 Registro'!$A$4:$A$103,0))),"")</f>
        <v/>
      </c>
      <c r="G22" s="11" t="str">
        <f t="array" ref="G22">IFERROR(IF(I22="","",INDEX('📦 Registro'!$N$4:$N$103,MATCH(I22,'📦 Registro'!$A$4:$A$103,0))),"")</f>
        <v/>
      </c>
      <c r="H22" s="58" t="str">
        <f t="shared" si="1"/>
        <v/>
      </c>
      <c r="I22" s="59" t="str">
        <f t="array" ref="I22">IFERROR(INDEX(#REF!,MATCH(SMALL(IF(#REF!&lt;&gt;"",ROW(#REF!)-3),19),#REF!,0)),"")</f>
        <v/>
      </c>
    </row>
    <row r="23" ht="15.0" customHeight="1">
      <c r="A23" s="18" t="str">
        <f t="array" ref="A23">IFERROR(IF(I23="","",INDEX('📦 Registro'!$A$4:$A$103,MATCH(I23,'📦 Registro'!$A$4:$A$103,0))),"")</f>
        <v/>
      </c>
      <c r="B23" s="18" t="str">
        <f t="array" ref="B23">IFERROR(IF(I23="","",INDEX('📦 Registro'!$B$4:$B$103,MATCH(I23,'📦 Registro'!$A$4:$A$103,0))),"")</f>
        <v/>
      </c>
      <c r="C23" s="20" t="str">
        <f t="array" ref="C23">IFERROR(IF(I23="","",INDEX('📦 Registro'!$D$4:$D$103,MATCH(I23,'📦 Registro'!$A$4:$A$103,0))),"")</f>
        <v/>
      </c>
      <c r="D23" s="18" t="str">
        <f t="array" ref="D23">IFERROR(IF(I23="","",INDEX('📦 Registro'!$E$4:$E$103,MATCH(I23,'📦 Registro'!$A$4:$A$103,0))),"")</f>
        <v/>
      </c>
      <c r="E23" s="18" t="str">
        <f t="array" ref="E23">IFERROR(IF(I23="","",INDEX('📦 Registro'!$I$4:$I$103,MATCH(I23,'📦 Registro'!$A$4:$A$103,0))),"")</f>
        <v/>
      </c>
      <c r="F23" s="23" t="str">
        <f t="array" ref="F23">IFERROR(IF(I23="","",INDEX('📦 Registro'!$C$4:$C$103,MATCH(I23,'📦 Registro'!$A$4:$A$103,0))),"")</f>
        <v/>
      </c>
      <c r="G23" s="22" t="str">
        <f t="array" ref="G23">IFERROR(IF(I23="","",INDEX('📦 Registro'!$N$4:$N$103,MATCH(I23,'📦 Registro'!$A$4:$A$103,0))),"")</f>
        <v/>
      </c>
      <c r="H23" s="60" t="str">
        <f t="shared" si="1"/>
        <v/>
      </c>
      <c r="I23" s="59" t="str">
        <f t="array" ref="I23">IFERROR(INDEX(#REF!,MATCH(SMALL(IF(#REF!&lt;&gt;"",ROW(#REF!)-3),20),#REF!,0)),"")</f>
        <v/>
      </c>
    </row>
    <row r="24" ht="15.0" customHeight="1">
      <c r="A24" s="6" t="str">
        <f t="array" ref="A24">IFERROR(IF(I24="","",INDEX('📦 Registro'!$A$4:$A$103,MATCH(I24,'📦 Registro'!$A$4:$A$103,0))),"")</f>
        <v/>
      </c>
      <c r="B24" s="6" t="str">
        <f t="array" ref="B24">IFERROR(IF(I24="","",INDEX('📦 Registro'!$B$4:$B$103,MATCH(I24,'📦 Registro'!$A$4:$A$103,0))),"")</f>
        <v/>
      </c>
      <c r="C24" s="24" t="str">
        <f t="array" ref="C24">IFERROR(IF(I24="","",INDEX('📦 Registro'!$D$4:$D$103,MATCH(I24,'📦 Registro'!$A$4:$A$103,0))),"")</f>
        <v/>
      </c>
      <c r="D24" s="6" t="str">
        <f t="array" ref="D24">IFERROR(IF(I24="","",INDEX('📦 Registro'!$E$4:$E$103,MATCH(I24,'📦 Registro'!$A$4:$A$103,0))),"")</f>
        <v/>
      </c>
      <c r="E24" s="6" t="str">
        <f t="array" ref="E24">IFERROR(IF(I24="","",INDEX('📦 Registro'!$I$4:$I$103,MATCH(I24,'📦 Registro'!$A$4:$A$103,0))),"")</f>
        <v/>
      </c>
      <c r="F24" s="29" t="str">
        <f t="array" ref="F24">IFERROR(IF(I24="","",INDEX('📦 Registro'!$C$4:$C$103,MATCH(I24,'📦 Registro'!$A$4:$A$103,0))),"")</f>
        <v/>
      </c>
      <c r="G24" s="11" t="str">
        <f t="array" ref="G24">IFERROR(IF(I24="","",INDEX('📦 Registro'!$N$4:$N$103,MATCH(I24,'📦 Registro'!$A$4:$A$103,0))),"")</f>
        <v/>
      </c>
      <c r="H24" s="58" t="str">
        <f t="shared" si="1"/>
        <v/>
      </c>
      <c r="I24" s="59" t="str">
        <f t="array" ref="I24">IFERROR(INDEX(#REF!,MATCH(SMALL(IF(#REF!&lt;&gt;"",ROW(#REF!)-3),21),#REF!,0)),"")</f>
        <v/>
      </c>
    </row>
    <row r="25" ht="15.0" customHeight="1">
      <c r="A25" s="18" t="str">
        <f t="array" ref="A25">IFERROR(IF(I25="","",INDEX('📦 Registro'!$A$4:$A$103,MATCH(I25,'📦 Registro'!$A$4:$A$103,0))),"")</f>
        <v/>
      </c>
      <c r="B25" s="18" t="str">
        <f t="array" ref="B25">IFERROR(IF(I25="","",INDEX('📦 Registro'!$B$4:$B$103,MATCH(I25,'📦 Registro'!$A$4:$A$103,0))),"")</f>
        <v/>
      </c>
      <c r="C25" s="20" t="str">
        <f t="array" ref="C25">IFERROR(IF(I25="","",INDEX('📦 Registro'!$D$4:$D$103,MATCH(I25,'📦 Registro'!$A$4:$A$103,0))),"")</f>
        <v/>
      </c>
      <c r="D25" s="18" t="str">
        <f t="array" ref="D25">IFERROR(IF(I25="","",INDEX('📦 Registro'!$E$4:$E$103,MATCH(I25,'📦 Registro'!$A$4:$A$103,0))),"")</f>
        <v/>
      </c>
      <c r="E25" s="18" t="str">
        <f t="array" ref="E25">IFERROR(IF(I25="","",INDEX('📦 Registro'!$I$4:$I$103,MATCH(I25,'📦 Registro'!$A$4:$A$103,0))),"")</f>
        <v/>
      </c>
      <c r="F25" s="23" t="str">
        <f t="array" ref="F25">IFERROR(IF(I25="","",INDEX('📦 Registro'!$C$4:$C$103,MATCH(I25,'📦 Registro'!$A$4:$A$103,0))),"")</f>
        <v/>
      </c>
      <c r="G25" s="22" t="str">
        <f t="array" ref="G25">IFERROR(IF(I25="","",INDEX('📦 Registro'!$N$4:$N$103,MATCH(I25,'📦 Registro'!$A$4:$A$103,0))),"")</f>
        <v/>
      </c>
      <c r="H25" s="60" t="str">
        <f t="shared" si="1"/>
        <v/>
      </c>
      <c r="I25" s="59" t="str">
        <f t="array" ref="I25">IFERROR(INDEX(#REF!,MATCH(SMALL(IF(#REF!&lt;&gt;"",ROW(#REF!)-3),22),#REF!,0)),"")</f>
        <v/>
      </c>
    </row>
    <row r="26" ht="15.0" customHeight="1">
      <c r="A26" s="6" t="str">
        <f t="array" ref="A26">IFERROR(IF(I26="","",INDEX('📦 Registro'!$A$4:$A$103,MATCH(I26,'📦 Registro'!$A$4:$A$103,0))),"")</f>
        <v/>
      </c>
      <c r="B26" s="6" t="str">
        <f t="array" ref="B26">IFERROR(IF(I26="","",INDEX('📦 Registro'!$B$4:$B$103,MATCH(I26,'📦 Registro'!$A$4:$A$103,0))),"")</f>
        <v/>
      </c>
      <c r="C26" s="24" t="str">
        <f t="array" ref="C26">IFERROR(IF(I26="","",INDEX('📦 Registro'!$D$4:$D$103,MATCH(I26,'📦 Registro'!$A$4:$A$103,0))),"")</f>
        <v/>
      </c>
      <c r="D26" s="6" t="str">
        <f t="array" ref="D26">IFERROR(IF(I26="","",INDEX('📦 Registro'!$E$4:$E$103,MATCH(I26,'📦 Registro'!$A$4:$A$103,0))),"")</f>
        <v/>
      </c>
      <c r="E26" s="6" t="str">
        <f t="array" ref="E26">IFERROR(IF(I26="","",INDEX('📦 Registro'!$I$4:$I$103,MATCH(I26,'📦 Registro'!$A$4:$A$103,0))),"")</f>
        <v/>
      </c>
      <c r="F26" s="29" t="str">
        <f t="array" ref="F26">IFERROR(IF(I26="","",INDEX('📦 Registro'!$C$4:$C$103,MATCH(I26,'📦 Registro'!$A$4:$A$103,0))),"")</f>
        <v/>
      </c>
      <c r="G26" s="11" t="str">
        <f t="array" ref="G26">IFERROR(IF(I26="","",INDEX('📦 Registro'!$N$4:$N$103,MATCH(I26,'📦 Registro'!$A$4:$A$103,0))),"")</f>
        <v/>
      </c>
      <c r="H26" s="58" t="str">
        <f t="shared" si="1"/>
        <v/>
      </c>
      <c r="I26" s="59" t="str">
        <f t="array" ref="I26">IFERROR(INDEX(#REF!,MATCH(SMALL(IF(#REF!&lt;&gt;"",ROW(#REF!)-3),23),#REF!,0)),"")</f>
        <v/>
      </c>
    </row>
    <row r="27" ht="15.0" customHeight="1">
      <c r="A27" s="18" t="str">
        <f t="array" ref="A27">IFERROR(IF(I27="","",INDEX('📦 Registro'!$A$4:$A$103,MATCH(I27,'📦 Registro'!$A$4:$A$103,0))),"")</f>
        <v/>
      </c>
      <c r="B27" s="18" t="str">
        <f t="array" ref="B27">IFERROR(IF(I27="","",INDEX('📦 Registro'!$B$4:$B$103,MATCH(I27,'📦 Registro'!$A$4:$A$103,0))),"")</f>
        <v/>
      </c>
      <c r="C27" s="20" t="str">
        <f t="array" ref="C27">IFERROR(IF(I27="","",INDEX('📦 Registro'!$D$4:$D$103,MATCH(I27,'📦 Registro'!$A$4:$A$103,0))),"")</f>
        <v/>
      </c>
      <c r="D27" s="18" t="str">
        <f t="array" ref="D27">IFERROR(IF(I27="","",INDEX('📦 Registro'!$E$4:$E$103,MATCH(I27,'📦 Registro'!$A$4:$A$103,0))),"")</f>
        <v/>
      </c>
      <c r="E27" s="18" t="str">
        <f t="array" ref="E27">IFERROR(IF(I27="","",INDEX('📦 Registro'!$I$4:$I$103,MATCH(I27,'📦 Registro'!$A$4:$A$103,0))),"")</f>
        <v/>
      </c>
      <c r="F27" s="23" t="str">
        <f t="array" ref="F27">IFERROR(IF(I27="","",INDEX('📦 Registro'!$C$4:$C$103,MATCH(I27,'📦 Registro'!$A$4:$A$103,0))),"")</f>
        <v/>
      </c>
      <c r="G27" s="22" t="str">
        <f t="array" ref="G27">IFERROR(IF(I27="","",INDEX('📦 Registro'!$N$4:$N$103,MATCH(I27,'📦 Registro'!$A$4:$A$103,0))),"")</f>
        <v/>
      </c>
      <c r="H27" s="60" t="str">
        <f t="shared" si="1"/>
        <v/>
      </c>
      <c r="I27" s="59" t="str">
        <f t="array" ref="I27">IFERROR(INDEX(#REF!,MATCH(SMALL(IF(#REF!&lt;&gt;"",ROW(#REF!)-3),24),#REF!,0)),"")</f>
        <v/>
      </c>
    </row>
    <row r="28" ht="15.0" customHeight="1">
      <c r="A28" s="6" t="str">
        <f t="array" ref="A28">IFERROR(IF(I28="","",INDEX('📦 Registro'!$A$4:$A$103,MATCH(I28,'📦 Registro'!$A$4:$A$103,0))),"")</f>
        <v/>
      </c>
      <c r="B28" s="6" t="str">
        <f t="array" ref="B28">IFERROR(IF(I28="","",INDEX('📦 Registro'!$B$4:$B$103,MATCH(I28,'📦 Registro'!$A$4:$A$103,0))),"")</f>
        <v/>
      </c>
      <c r="C28" s="24" t="str">
        <f t="array" ref="C28">IFERROR(IF(I28="","",INDEX('📦 Registro'!$D$4:$D$103,MATCH(I28,'📦 Registro'!$A$4:$A$103,0))),"")</f>
        <v/>
      </c>
      <c r="D28" s="6" t="str">
        <f t="array" ref="D28">IFERROR(IF(I28="","",INDEX('📦 Registro'!$E$4:$E$103,MATCH(I28,'📦 Registro'!$A$4:$A$103,0))),"")</f>
        <v/>
      </c>
      <c r="E28" s="6" t="str">
        <f t="array" ref="E28">IFERROR(IF(I28="","",INDEX('📦 Registro'!$I$4:$I$103,MATCH(I28,'📦 Registro'!$A$4:$A$103,0))),"")</f>
        <v/>
      </c>
      <c r="F28" s="29" t="str">
        <f t="array" ref="F28">IFERROR(IF(I28="","",INDEX('📦 Registro'!$C$4:$C$103,MATCH(I28,'📦 Registro'!$A$4:$A$103,0))),"")</f>
        <v/>
      </c>
      <c r="G28" s="11" t="str">
        <f t="array" ref="G28">IFERROR(IF(I28="","",INDEX('📦 Registro'!$N$4:$N$103,MATCH(I28,'📦 Registro'!$A$4:$A$103,0))),"")</f>
        <v/>
      </c>
      <c r="H28" s="58" t="str">
        <f t="shared" si="1"/>
        <v/>
      </c>
      <c r="I28" s="59" t="str">
        <f t="array" ref="I28">IFERROR(INDEX(#REF!,MATCH(SMALL(IF(#REF!&lt;&gt;"",ROW(#REF!)-3),25),#REF!,0)),"")</f>
        <v/>
      </c>
    </row>
    <row r="29" ht="15.0" customHeight="1">
      <c r="A29" s="18" t="str">
        <f t="array" ref="A29">IFERROR(IF(I29="","",INDEX('📦 Registro'!$A$4:$A$103,MATCH(I29,'📦 Registro'!$A$4:$A$103,0))),"")</f>
        <v/>
      </c>
      <c r="B29" s="18" t="str">
        <f t="array" ref="B29">IFERROR(IF(I29="","",INDEX('📦 Registro'!$B$4:$B$103,MATCH(I29,'📦 Registro'!$A$4:$A$103,0))),"")</f>
        <v/>
      </c>
      <c r="C29" s="20" t="str">
        <f t="array" ref="C29">IFERROR(IF(I29="","",INDEX('📦 Registro'!$D$4:$D$103,MATCH(I29,'📦 Registro'!$A$4:$A$103,0))),"")</f>
        <v/>
      </c>
      <c r="D29" s="18" t="str">
        <f t="array" ref="D29">IFERROR(IF(I29="","",INDEX('📦 Registro'!$E$4:$E$103,MATCH(I29,'📦 Registro'!$A$4:$A$103,0))),"")</f>
        <v/>
      </c>
      <c r="E29" s="18" t="str">
        <f t="array" ref="E29">IFERROR(IF(I29="","",INDEX('📦 Registro'!$I$4:$I$103,MATCH(I29,'📦 Registro'!$A$4:$A$103,0))),"")</f>
        <v/>
      </c>
      <c r="F29" s="23" t="str">
        <f t="array" ref="F29">IFERROR(IF(I29="","",INDEX('📦 Registro'!$C$4:$C$103,MATCH(I29,'📦 Registro'!$A$4:$A$103,0))),"")</f>
        <v/>
      </c>
      <c r="G29" s="22" t="str">
        <f t="array" ref="G29">IFERROR(IF(I29="","",INDEX('📦 Registro'!$N$4:$N$103,MATCH(I29,'📦 Registro'!$A$4:$A$103,0))),"")</f>
        <v/>
      </c>
      <c r="H29" s="60" t="str">
        <f t="shared" si="1"/>
        <v/>
      </c>
      <c r="I29" s="59" t="str">
        <f t="array" ref="I29">IFERROR(INDEX(#REF!,MATCH(SMALL(IF(#REF!&lt;&gt;"",ROW(#REF!)-3),26),#REF!,0)),"")</f>
        <v/>
      </c>
    </row>
    <row r="30" ht="15.0" customHeight="1">
      <c r="A30" s="6" t="str">
        <f t="array" ref="A30">IFERROR(IF(I30="","",INDEX('📦 Registro'!$A$4:$A$103,MATCH(I30,'📦 Registro'!$A$4:$A$103,0))),"")</f>
        <v/>
      </c>
      <c r="B30" s="6" t="str">
        <f t="array" ref="B30">IFERROR(IF(I30="","",INDEX('📦 Registro'!$B$4:$B$103,MATCH(I30,'📦 Registro'!$A$4:$A$103,0))),"")</f>
        <v/>
      </c>
      <c r="C30" s="24" t="str">
        <f t="array" ref="C30">IFERROR(IF(I30="","",INDEX('📦 Registro'!$D$4:$D$103,MATCH(I30,'📦 Registro'!$A$4:$A$103,0))),"")</f>
        <v/>
      </c>
      <c r="D30" s="6" t="str">
        <f t="array" ref="D30">IFERROR(IF(I30="","",INDEX('📦 Registro'!$E$4:$E$103,MATCH(I30,'📦 Registro'!$A$4:$A$103,0))),"")</f>
        <v/>
      </c>
      <c r="E30" s="6" t="str">
        <f t="array" ref="E30">IFERROR(IF(I30="","",INDEX('📦 Registro'!$I$4:$I$103,MATCH(I30,'📦 Registro'!$A$4:$A$103,0))),"")</f>
        <v/>
      </c>
      <c r="F30" s="29" t="str">
        <f t="array" ref="F30">IFERROR(IF(I30="","",INDEX('📦 Registro'!$C$4:$C$103,MATCH(I30,'📦 Registro'!$A$4:$A$103,0))),"")</f>
        <v/>
      </c>
      <c r="G30" s="11" t="str">
        <f t="array" ref="G30">IFERROR(IF(I30="","",INDEX('📦 Registro'!$N$4:$N$103,MATCH(I30,'📦 Registro'!$A$4:$A$103,0))),"")</f>
        <v/>
      </c>
      <c r="H30" s="58" t="str">
        <f t="shared" si="1"/>
        <v/>
      </c>
      <c r="I30" s="59" t="str">
        <f t="array" ref="I30">IFERROR(INDEX(#REF!,MATCH(SMALL(IF(#REF!&lt;&gt;"",ROW(#REF!)-3),27),#REF!,0)),"")</f>
        <v/>
      </c>
    </row>
    <row r="31" ht="15.0" customHeight="1">
      <c r="A31" s="18" t="str">
        <f t="array" ref="A31">IFERROR(IF(I31="","",INDEX('📦 Registro'!$A$4:$A$103,MATCH(I31,'📦 Registro'!$A$4:$A$103,0))),"")</f>
        <v/>
      </c>
      <c r="B31" s="18" t="str">
        <f t="array" ref="B31">IFERROR(IF(I31="","",INDEX('📦 Registro'!$B$4:$B$103,MATCH(I31,'📦 Registro'!$A$4:$A$103,0))),"")</f>
        <v/>
      </c>
      <c r="C31" s="20" t="str">
        <f t="array" ref="C31">IFERROR(IF(I31="","",INDEX('📦 Registro'!$D$4:$D$103,MATCH(I31,'📦 Registro'!$A$4:$A$103,0))),"")</f>
        <v/>
      </c>
      <c r="D31" s="18" t="str">
        <f t="array" ref="D31">IFERROR(IF(I31="","",INDEX('📦 Registro'!$E$4:$E$103,MATCH(I31,'📦 Registro'!$A$4:$A$103,0))),"")</f>
        <v/>
      </c>
      <c r="E31" s="18" t="str">
        <f t="array" ref="E31">IFERROR(IF(I31="","",INDEX('📦 Registro'!$I$4:$I$103,MATCH(I31,'📦 Registro'!$A$4:$A$103,0))),"")</f>
        <v/>
      </c>
      <c r="F31" s="23" t="str">
        <f t="array" ref="F31">IFERROR(IF(I31="","",INDEX('📦 Registro'!$C$4:$C$103,MATCH(I31,'📦 Registro'!$A$4:$A$103,0))),"")</f>
        <v/>
      </c>
      <c r="G31" s="22" t="str">
        <f t="array" ref="G31">IFERROR(IF(I31="","",INDEX('📦 Registro'!$N$4:$N$103,MATCH(I31,'📦 Registro'!$A$4:$A$103,0))),"")</f>
        <v/>
      </c>
      <c r="H31" s="60" t="str">
        <f t="shared" si="1"/>
        <v/>
      </c>
      <c r="I31" s="59" t="str">
        <f t="array" ref="I31">IFERROR(INDEX(#REF!,MATCH(SMALL(IF(#REF!&lt;&gt;"",ROW(#REF!)-3),28),#REF!,0)),"")</f>
        <v/>
      </c>
    </row>
    <row r="32" ht="15.0" customHeight="1">
      <c r="A32" s="6" t="str">
        <f t="array" ref="A32">IFERROR(IF(I32="","",INDEX('📦 Registro'!$A$4:$A$103,MATCH(I32,'📦 Registro'!$A$4:$A$103,0))),"")</f>
        <v/>
      </c>
      <c r="B32" s="6" t="str">
        <f t="array" ref="B32">IFERROR(IF(I32="","",INDEX('📦 Registro'!$B$4:$B$103,MATCH(I32,'📦 Registro'!$A$4:$A$103,0))),"")</f>
        <v/>
      </c>
      <c r="C32" s="24" t="str">
        <f t="array" ref="C32">IFERROR(IF(I32="","",INDEX('📦 Registro'!$D$4:$D$103,MATCH(I32,'📦 Registro'!$A$4:$A$103,0))),"")</f>
        <v/>
      </c>
      <c r="D32" s="6" t="str">
        <f t="array" ref="D32">IFERROR(IF(I32="","",INDEX('📦 Registro'!$E$4:$E$103,MATCH(I32,'📦 Registro'!$A$4:$A$103,0))),"")</f>
        <v/>
      </c>
      <c r="E32" s="6" t="str">
        <f t="array" ref="E32">IFERROR(IF(I32="","",INDEX('📦 Registro'!$I$4:$I$103,MATCH(I32,'📦 Registro'!$A$4:$A$103,0))),"")</f>
        <v/>
      </c>
      <c r="F32" s="29" t="str">
        <f t="array" ref="F32">IFERROR(IF(I32="","",INDEX('📦 Registro'!$C$4:$C$103,MATCH(I32,'📦 Registro'!$A$4:$A$103,0))),"")</f>
        <v/>
      </c>
      <c r="G32" s="11" t="str">
        <f t="array" ref="G32">IFERROR(IF(I32="","",INDEX('📦 Registro'!$N$4:$N$103,MATCH(I32,'📦 Registro'!$A$4:$A$103,0))),"")</f>
        <v/>
      </c>
      <c r="H32" s="58" t="str">
        <f t="shared" si="1"/>
        <v/>
      </c>
      <c r="I32" s="59" t="str">
        <f t="array" ref="I32">IFERROR(INDEX(#REF!,MATCH(SMALL(IF(#REF!&lt;&gt;"",ROW(#REF!)-3),29),#REF!,0)),"")</f>
        <v/>
      </c>
    </row>
    <row r="33" ht="15.0" customHeight="1">
      <c r="A33" s="18" t="str">
        <f t="array" ref="A33">IFERROR(IF(I33="","",INDEX('📦 Registro'!$A$4:$A$103,MATCH(I33,'📦 Registro'!$A$4:$A$103,0))),"")</f>
        <v/>
      </c>
      <c r="B33" s="18" t="str">
        <f t="array" ref="B33">IFERROR(IF(I33="","",INDEX('📦 Registro'!$B$4:$B$103,MATCH(I33,'📦 Registro'!$A$4:$A$103,0))),"")</f>
        <v/>
      </c>
      <c r="C33" s="20" t="str">
        <f t="array" ref="C33">IFERROR(IF(I33="","",INDEX('📦 Registro'!$D$4:$D$103,MATCH(I33,'📦 Registro'!$A$4:$A$103,0))),"")</f>
        <v/>
      </c>
      <c r="D33" s="18" t="str">
        <f t="array" ref="D33">IFERROR(IF(I33="","",INDEX('📦 Registro'!$E$4:$E$103,MATCH(I33,'📦 Registro'!$A$4:$A$103,0))),"")</f>
        <v/>
      </c>
      <c r="E33" s="18" t="str">
        <f t="array" ref="E33">IFERROR(IF(I33="","",INDEX('📦 Registro'!$I$4:$I$103,MATCH(I33,'📦 Registro'!$A$4:$A$103,0))),"")</f>
        <v/>
      </c>
      <c r="F33" s="23" t="str">
        <f t="array" ref="F33">IFERROR(IF(I33="","",INDEX('📦 Registro'!$C$4:$C$103,MATCH(I33,'📦 Registro'!$A$4:$A$103,0))),"")</f>
        <v/>
      </c>
      <c r="G33" s="22" t="str">
        <f t="array" ref="G33">IFERROR(IF(I33="","",INDEX('📦 Registro'!$N$4:$N$103,MATCH(I33,'📦 Registro'!$A$4:$A$103,0))),"")</f>
        <v/>
      </c>
      <c r="H33" s="60" t="str">
        <f t="shared" si="1"/>
        <v/>
      </c>
      <c r="I33" s="59" t="str">
        <f t="array" ref="I33">IFERROR(INDEX(#REF!,MATCH(SMALL(IF(#REF!&lt;&gt;"",ROW(#REF!)-3),30),#REF!,0)),"")</f>
        <v/>
      </c>
    </row>
    <row r="34" ht="15.0" customHeight="1">
      <c r="A34" s="6" t="str">
        <f t="array" ref="A34">IFERROR(IF(I34="","",INDEX('📦 Registro'!$A$4:$A$103,MATCH(I34,'📦 Registro'!$A$4:$A$103,0))),"")</f>
        <v/>
      </c>
      <c r="B34" s="6" t="str">
        <f t="array" ref="B34">IFERROR(IF(I34="","",INDEX('📦 Registro'!$B$4:$B$103,MATCH(I34,'📦 Registro'!$A$4:$A$103,0))),"")</f>
        <v/>
      </c>
      <c r="C34" s="24" t="str">
        <f t="array" ref="C34">IFERROR(IF(I34="","",INDEX('📦 Registro'!$D$4:$D$103,MATCH(I34,'📦 Registro'!$A$4:$A$103,0))),"")</f>
        <v/>
      </c>
      <c r="D34" s="6" t="str">
        <f t="array" ref="D34">IFERROR(IF(I34="","",INDEX('📦 Registro'!$E$4:$E$103,MATCH(I34,'📦 Registro'!$A$4:$A$103,0))),"")</f>
        <v/>
      </c>
      <c r="E34" s="6" t="str">
        <f t="array" ref="E34">IFERROR(IF(I34="","",INDEX('📦 Registro'!$I$4:$I$103,MATCH(I34,'📦 Registro'!$A$4:$A$103,0))),"")</f>
        <v/>
      </c>
      <c r="F34" s="29" t="str">
        <f t="array" ref="F34">IFERROR(IF(I34="","",INDEX('📦 Registro'!$C$4:$C$103,MATCH(I34,'📦 Registro'!$A$4:$A$103,0))),"")</f>
        <v/>
      </c>
      <c r="G34" s="11" t="str">
        <f t="array" ref="G34">IFERROR(IF(I34="","",INDEX('📦 Registro'!$N$4:$N$103,MATCH(I34,'📦 Registro'!$A$4:$A$103,0))),"")</f>
        <v/>
      </c>
      <c r="H34" s="58" t="str">
        <f t="shared" si="1"/>
        <v/>
      </c>
      <c r="I34" s="59" t="str">
        <f t="array" ref="I34">IFERROR(INDEX(#REF!,MATCH(SMALL(IF(#REF!&lt;&gt;"",ROW(#REF!)-3),31),#REF!,0)),"")</f>
        <v/>
      </c>
    </row>
    <row r="35" ht="15.0" customHeight="1">
      <c r="A35" s="18" t="str">
        <f t="array" ref="A35">IFERROR(IF(I35="","",INDEX('📦 Registro'!$A$4:$A$103,MATCH(I35,'📦 Registro'!$A$4:$A$103,0))),"")</f>
        <v/>
      </c>
      <c r="B35" s="18" t="str">
        <f t="array" ref="B35">IFERROR(IF(I35="","",INDEX('📦 Registro'!$B$4:$B$103,MATCH(I35,'📦 Registro'!$A$4:$A$103,0))),"")</f>
        <v/>
      </c>
      <c r="C35" s="20" t="str">
        <f t="array" ref="C35">IFERROR(IF(I35="","",INDEX('📦 Registro'!$D$4:$D$103,MATCH(I35,'📦 Registro'!$A$4:$A$103,0))),"")</f>
        <v/>
      </c>
      <c r="D35" s="18" t="str">
        <f t="array" ref="D35">IFERROR(IF(I35="","",INDEX('📦 Registro'!$E$4:$E$103,MATCH(I35,'📦 Registro'!$A$4:$A$103,0))),"")</f>
        <v/>
      </c>
      <c r="E35" s="18" t="str">
        <f t="array" ref="E35">IFERROR(IF(I35="","",INDEX('📦 Registro'!$I$4:$I$103,MATCH(I35,'📦 Registro'!$A$4:$A$103,0))),"")</f>
        <v/>
      </c>
      <c r="F35" s="23" t="str">
        <f t="array" ref="F35">IFERROR(IF(I35="","",INDEX('📦 Registro'!$C$4:$C$103,MATCH(I35,'📦 Registro'!$A$4:$A$103,0))),"")</f>
        <v/>
      </c>
      <c r="G35" s="22" t="str">
        <f t="array" ref="G35">IFERROR(IF(I35="","",INDEX('📦 Registro'!$N$4:$N$103,MATCH(I35,'📦 Registro'!$A$4:$A$103,0))),"")</f>
        <v/>
      </c>
      <c r="H35" s="60" t="str">
        <f t="shared" si="1"/>
        <v/>
      </c>
      <c r="I35" s="59" t="str">
        <f t="array" ref="I35">IFERROR(INDEX(#REF!,MATCH(SMALL(IF(#REF!&lt;&gt;"",ROW(#REF!)-3),32),#REF!,0)),"")</f>
        <v/>
      </c>
    </row>
    <row r="36" ht="15.0" customHeight="1">
      <c r="A36" s="6" t="str">
        <f t="array" ref="A36">IFERROR(IF(I36="","",INDEX('📦 Registro'!$A$4:$A$103,MATCH(I36,'📦 Registro'!$A$4:$A$103,0))),"")</f>
        <v/>
      </c>
      <c r="B36" s="6" t="str">
        <f t="array" ref="B36">IFERROR(IF(I36="","",INDEX('📦 Registro'!$B$4:$B$103,MATCH(I36,'📦 Registro'!$A$4:$A$103,0))),"")</f>
        <v/>
      </c>
      <c r="C36" s="24" t="str">
        <f t="array" ref="C36">IFERROR(IF(I36="","",INDEX('📦 Registro'!$D$4:$D$103,MATCH(I36,'📦 Registro'!$A$4:$A$103,0))),"")</f>
        <v/>
      </c>
      <c r="D36" s="6" t="str">
        <f t="array" ref="D36">IFERROR(IF(I36="","",INDEX('📦 Registro'!$E$4:$E$103,MATCH(I36,'📦 Registro'!$A$4:$A$103,0))),"")</f>
        <v/>
      </c>
      <c r="E36" s="6" t="str">
        <f t="array" ref="E36">IFERROR(IF(I36="","",INDEX('📦 Registro'!$I$4:$I$103,MATCH(I36,'📦 Registro'!$A$4:$A$103,0))),"")</f>
        <v/>
      </c>
      <c r="F36" s="29" t="str">
        <f t="array" ref="F36">IFERROR(IF(I36="","",INDEX('📦 Registro'!$C$4:$C$103,MATCH(I36,'📦 Registro'!$A$4:$A$103,0))),"")</f>
        <v/>
      </c>
      <c r="G36" s="11" t="str">
        <f t="array" ref="G36">IFERROR(IF(I36="","",INDEX('📦 Registro'!$N$4:$N$103,MATCH(I36,'📦 Registro'!$A$4:$A$103,0))),"")</f>
        <v/>
      </c>
      <c r="H36" s="58" t="str">
        <f t="shared" si="1"/>
        <v/>
      </c>
      <c r="I36" s="59" t="str">
        <f t="array" ref="I36">IFERROR(INDEX(#REF!,MATCH(SMALL(IF(#REF!&lt;&gt;"",ROW(#REF!)-3),33),#REF!,0)),"")</f>
        <v/>
      </c>
    </row>
    <row r="37" ht="15.0" customHeight="1">
      <c r="A37" s="18" t="str">
        <f t="array" ref="A37">IFERROR(IF(I37="","",INDEX('📦 Registro'!$A$4:$A$103,MATCH(I37,'📦 Registro'!$A$4:$A$103,0))),"")</f>
        <v/>
      </c>
      <c r="B37" s="18" t="str">
        <f t="array" ref="B37">IFERROR(IF(I37="","",INDEX('📦 Registro'!$B$4:$B$103,MATCH(I37,'📦 Registro'!$A$4:$A$103,0))),"")</f>
        <v/>
      </c>
      <c r="C37" s="20" t="str">
        <f t="array" ref="C37">IFERROR(IF(I37="","",INDEX('📦 Registro'!$D$4:$D$103,MATCH(I37,'📦 Registro'!$A$4:$A$103,0))),"")</f>
        <v/>
      </c>
      <c r="D37" s="18" t="str">
        <f t="array" ref="D37">IFERROR(IF(I37="","",INDEX('📦 Registro'!$E$4:$E$103,MATCH(I37,'📦 Registro'!$A$4:$A$103,0))),"")</f>
        <v/>
      </c>
      <c r="E37" s="18" t="str">
        <f t="array" ref="E37">IFERROR(IF(I37="","",INDEX('📦 Registro'!$I$4:$I$103,MATCH(I37,'📦 Registro'!$A$4:$A$103,0))),"")</f>
        <v/>
      </c>
      <c r="F37" s="23" t="str">
        <f t="array" ref="F37">IFERROR(IF(I37="","",INDEX('📦 Registro'!$C$4:$C$103,MATCH(I37,'📦 Registro'!$A$4:$A$103,0))),"")</f>
        <v/>
      </c>
      <c r="G37" s="22" t="str">
        <f t="array" ref="G37">IFERROR(IF(I37="","",INDEX('📦 Registro'!$N$4:$N$103,MATCH(I37,'📦 Registro'!$A$4:$A$103,0))),"")</f>
        <v/>
      </c>
      <c r="H37" s="60" t="str">
        <f t="shared" si="1"/>
        <v/>
      </c>
      <c r="I37" s="59" t="str">
        <f t="array" ref="I37">IFERROR(INDEX(#REF!,MATCH(SMALL(IF(#REF!&lt;&gt;"",ROW(#REF!)-3),34),#REF!,0)),"")</f>
        <v/>
      </c>
    </row>
    <row r="38" ht="15.0" customHeight="1">
      <c r="A38" s="6" t="str">
        <f t="array" ref="A38">IFERROR(IF(I38="","",INDEX('📦 Registro'!$A$4:$A$103,MATCH(I38,'📦 Registro'!$A$4:$A$103,0))),"")</f>
        <v/>
      </c>
      <c r="B38" s="6" t="str">
        <f t="array" ref="B38">IFERROR(IF(I38="","",INDEX('📦 Registro'!$B$4:$B$103,MATCH(I38,'📦 Registro'!$A$4:$A$103,0))),"")</f>
        <v/>
      </c>
      <c r="C38" s="24" t="str">
        <f t="array" ref="C38">IFERROR(IF(I38="","",INDEX('📦 Registro'!$D$4:$D$103,MATCH(I38,'📦 Registro'!$A$4:$A$103,0))),"")</f>
        <v/>
      </c>
      <c r="D38" s="6" t="str">
        <f t="array" ref="D38">IFERROR(IF(I38="","",INDEX('📦 Registro'!$E$4:$E$103,MATCH(I38,'📦 Registro'!$A$4:$A$103,0))),"")</f>
        <v/>
      </c>
      <c r="E38" s="6" t="str">
        <f t="array" ref="E38">IFERROR(IF(I38="","",INDEX('📦 Registro'!$I$4:$I$103,MATCH(I38,'📦 Registro'!$A$4:$A$103,0))),"")</f>
        <v/>
      </c>
      <c r="F38" s="29" t="str">
        <f t="array" ref="F38">IFERROR(IF(I38="","",INDEX('📦 Registro'!$C$4:$C$103,MATCH(I38,'📦 Registro'!$A$4:$A$103,0))),"")</f>
        <v/>
      </c>
      <c r="G38" s="11" t="str">
        <f t="array" ref="G38">IFERROR(IF(I38="","",INDEX('📦 Registro'!$N$4:$N$103,MATCH(I38,'📦 Registro'!$A$4:$A$103,0))),"")</f>
        <v/>
      </c>
      <c r="H38" s="58" t="str">
        <f t="shared" si="1"/>
        <v/>
      </c>
      <c r="I38" s="59" t="str">
        <f t="array" ref="I38">IFERROR(INDEX(#REF!,MATCH(SMALL(IF(#REF!&lt;&gt;"",ROW(#REF!)-3),35),#REF!,0)),"")</f>
        <v/>
      </c>
    </row>
    <row r="39" ht="15.0" customHeight="1">
      <c r="A39" s="18" t="str">
        <f t="array" ref="A39">IFERROR(IF(I39="","",INDEX('📦 Registro'!$A$4:$A$103,MATCH(I39,'📦 Registro'!$A$4:$A$103,0))),"")</f>
        <v/>
      </c>
      <c r="B39" s="18" t="str">
        <f t="array" ref="B39">IFERROR(IF(I39="","",INDEX('📦 Registro'!$B$4:$B$103,MATCH(I39,'📦 Registro'!$A$4:$A$103,0))),"")</f>
        <v/>
      </c>
      <c r="C39" s="20" t="str">
        <f t="array" ref="C39">IFERROR(IF(I39="","",INDEX('📦 Registro'!$D$4:$D$103,MATCH(I39,'📦 Registro'!$A$4:$A$103,0))),"")</f>
        <v/>
      </c>
      <c r="D39" s="18" t="str">
        <f t="array" ref="D39">IFERROR(IF(I39="","",INDEX('📦 Registro'!$E$4:$E$103,MATCH(I39,'📦 Registro'!$A$4:$A$103,0))),"")</f>
        <v/>
      </c>
      <c r="E39" s="18" t="str">
        <f t="array" ref="E39">IFERROR(IF(I39="","",INDEX('📦 Registro'!$I$4:$I$103,MATCH(I39,'📦 Registro'!$A$4:$A$103,0))),"")</f>
        <v/>
      </c>
      <c r="F39" s="23" t="str">
        <f t="array" ref="F39">IFERROR(IF(I39="","",INDEX('📦 Registro'!$C$4:$C$103,MATCH(I39,'📦 Registro'!$A$4:$A$103,0))),"")</f>
        <v/>
      </c>
      <c r="G39" s="22" t="str">
        <f t="array" ref="G39">IFERROR(IF(I39="","",INDEX('📦 Registro'!$N$4:$N$103,MATCH(I39,'📦 Registro'!$A$4:$A$103,0))),"")</f>
        <v/>
      </c>
      <c r="H39" s="60" t="str">
        <f t="shared" si="1"/>
        <v/>
      </c>
      <c r="I39" s="59" t="str">
        <f t="array" ref="I39">IFERROR(INDEX(#REF!,MATCH(SMALL(IF(#REF!&lt;&gt;"",ROW(#REF!)-3),36),#REF!,0)),"")</f>
        <v/>
      </c>
    </row>
    <row r="40" ht="15.0" customHeight="1">
      <c r="A40" s="6" t="str">
        <f t="array" ref="A40">IFERROR(IF(I40="","",INDEX('📦 Registro'!$A$4:$A$103,MATCH(I40,'📦 Registro'!$A$4:$A$103,0))),"")</f>
        <v/>
      </c>
      <c r="B40" s="6" t="str">
        <f t="array" ref="B40">IFERROR(IF(I40="","",INDEX('📦 Registro'!$B$4:$B$103,MATCH(I40,'📦 Registro'!$A$4:$A$103,0))),"")</f>
        <v/>
      </c>
      <c r="C40" s="24" t="str">
        <f t="array" ref="C40">IFERROR(IF(I40="","",INDEX('📦 Registro'!$D$4:$D$103,MATCH(I40,'📦 Registro'!$A$4:$A$103,0))),"")</f>
        <v/>
      </c>
      <c r="D40" s="6" t="str">
        <f t="array" ref="D40">IFERROR(IF(I40="","",INDEX('📦 Registro'!$E$4:$E$103,MATCH(I40,'📦 Registro'!$A$4:$A$103,0))),"")</f>
        <v/>
      </c>
      <c r="E40" s="6" t="str">
        <f t="array" ref="E40">IFERROR(IF(I40="","",INDEX('📦 Registro'!$I$4:$I$103,MATCH(I40,'📦 Registro'!$A$4:$A$103,0))),"")</f>
        <v/>
      </c>
      <c r="F40" s="29" t="str">
        <f t="array" ref="F40">IFERROR(IF(I40="","",INDEX('📦 Registro'!$C$4:$C$103,MATCH(I40,'📦 Registro'!$A$4:$A$103,0))),"")</f>
        <v/>
      </c>
      <c r="G40" s="11" t="str">
        <f t="array" ref="G40">IFERROR(IF(I40="","",INDEX('📦 Registro'!$N$4:$N$103,MATCH(I40,'📦 Registro'!$A$4:$A$103,0))),"")</f>
        <v/>
      </c>
      <c r="H40" s="58" t="str">
        <f t="shared" si="1"/>
        <v/>
      </c>
      <c r="I40" s="59" t="str">
        <f t="array" ref="I40">IFERROR(INDEX(#REF!,MATCH(SMALL(IF(#REF!&lt;&gt;"",ROW(#REF!)-3),37),#REF!,0)),"")</f>
        <v/>
      </c>
    </row>
    <row r="41" ht="15.0" customHeight="1">
      <c r="A41" s="18" t="str">
        <f t="array" ref="A41">IFERROR(IF(I41="","",INDEX('📦 Registro'!$A$4:$A$103,MATCH(I41,'📦 Registro'!$A$4:$A$103,0))),"")</f>
        <v/>
      </c>
      <c r="B41" s="18" t="str">
        <f t="array" ref="B41">IFERROR(IF(I41="","",INDEX('📦 Registro'!$B$4:$B$103,MATCH(I41,'📦 Registro'!$A$4:$A$103,0))),"")</f>
        <v/>
      </c>
      <c r="C41" s="20" t="str">
        <f t="array" ref="C41">IFERROR(IF(I41="","",INDEX('📦 Registro'!$D$4:$D$103,MATCH(I41,'📦 Registro'!$A$4:$A$103,0))),"")</f>
        <v/>
      </c>
      <c r="D41" s="18" t="str">
        <f t="array" ref="D41">IFERROR(IF(I41="","",INDEX('📦 Registro'!$E$4:$E$103,MATCH(I41,'📦 Registro'!$A$4:$A$103,0))),"")</f>
        <v/>
      </c>
      <c r="E41" s="18" t="str">
        <f t="array" ref="E41">IFERROR(IF(I41="","",INDEX('📦 Registro'!$I$4:$I$103,MATCH(I41,'📦 Registro'!$A$4:$A$103,0))),"")</f>
        <v/>
      </c>
      <c r="F41" s="23" t="str">
        <f t="array" ref="F41">IFERROR(IF(I41="","",INDEX('📦 Registro'!$C$4:$C$103,MATCH(I41,'📦 Registro'!$A$4:$A$103,0))),"")</f>
        <v/>
      </c>
      <c r="G41" s="22" t="str">
        <f t="array" ref="G41">IFERROR(IF(I41="","",INDEX('📦 Registro'!$N$4:$N$103,MATCH(I41,'📦 Registro'!$A$4:$A$103,0))),"")</f>
        <v/>
      </c>
      <c r="H41" s="60" t="str">
        <f t="shared" si="1"/>
        <v/>
      </c>
      <c r="I41" s="59" t="str">
        <f t="array" ref="I41">IFERROR(INDEX(#REF!,MATCH(SMALL(IF(#REF!&lt;&gt;"",ROW(#REF!)-3),38),#REF!,0)),"")</f>
        <v/>
      </c>
    </row>
    <row r="42" ht="15.0" customHeight="1">
      <c r="A42" s="6" t="str">
        <f t="array" ref="A42">IFERROR(IF(I42="","",INDEX('📦 Registro'!$A$4:$A$103,MATCH(I42,'📦 Registro'!$A$4:$A$103,0))),"")</f>
        <v/>
      </c>
      <c r="B42" s="6" t="str">
        <f t="array" ref="B42">IFERROR(IF(I42="","",INDEX('📦 Registro'!$B$4:$B$103,MATCH(I42,'📦 Registro'!$A$4:$A$103,0))),"")</f>
        <v/>
      </c>
      <c r="C42" s="24" t="str">
        <f t="array" ref="C42">IFERROR(IF(I42="","",INDEX('📦 Registro'!$D$4:$D$103,MATCH(I42,'📦 Registro'!$A$4:$A$103,0))),"")</f>
        <v/>
      </c>
      <c r="D42" s="6" t="str">
        <f t="array" ref="D42">IFERROR(IF(I42="","",INDEX('📦 Registro'!$E$4:$E$103,MATCH(I42,'📦 Registro'!$A$4:$A$103,0))),"")</f>
        <v/>
      </c>
      <c r="E42" s="6" t="str">
        <f t="array" ref="E42">IFERROR(IF(I42="","",INDEX('📦 Registro'!$I$4:$I$103,MATCH(I42,'📦 Registro'!$A$4:$A$103,0))),"")</f>
        <v/>
      </c>
      <c r="F42" s="29" t="str">
        <f t="array" ref="F42">IFERROR(IF(I42="","",INDEX('📦 Registro'!$C$4:$C$103,MATCH(I42,'📦 Registro'!$A$4:$A$103,0))),"")</f>
        <v/>
      </c>
      <c r="G42" s="11" t="str">
        <f t="array" ref="G42">IFERROR(IF(I42="","",INDEX('📦 Registro'!$N$4:$N$103,MATCH(I42,'📦 Registro'!$A$4:$A$103,0))),"")</f>
        <v/>
      </c>
      <c r="H42" s="58" t="str">
        <f t="shared" si="1"/>
        <v/>
      </c>
      <c r="I42" s="59" t="str">
        <f t="array" ref="I42">IFERROR(INDEX(#REF!,MATCH(SMALL(IF(#REF!&lt;&gt;"",ROW(#REF!)-3),39),#REF!,0)),"")</f>
        <v/>
      </c>
    </row>
    <row r="43" ht="15.0" customHeight="1">
      <c r="A43" s="18" t="str">
        <f t="array" ref="A43">IFERROR(IF(I43="","",INDEX('📦 Registro'!$A$4:$A$103,MATCH(I43,'📦 Registro'!$A$4:$A$103,0))),"")</f>
        <v/>
      </c>
      <c r="B43" s="18" t="str">
        <f t="array" ref="B43">IFERROR(IF(I43="","",INDEX('📦 Registro'!$B$4:$B$103,MATCH(I43,'📦 Registro'!$A$4:$A$103,0))),"")</f>
        <v/>
      </c>
      <c r="C43" s="20" t="str">
        <f t="array" ref="C43">IFERROR(IF(I43="","",INDEX('📦 Registro'!$D$4:$D$103,MATCH(I43,'📦 Registro'!$A$4:$A$103,0))),"")</f>
        <v/>
      </c>
      <c r="D43" s="18" t="str">
        <f t="array" ref="D43">IFERROR(IF(I43="","",INDEX('📦 Registro'!$E$4:$E$103,MATCH(I43,'📦 Registro'!$A$4:$A$103,0))),"")</f>
        <v/>
      </c>
      <c r="E43" s="18" t="str">
        <f t="array" ref="E43">IFERROR(IF(I43="","",INDEX('📦 Registro'!$I$4:$I$103,MATCH(I43,'📦 Registro'!$A$4:$A$103,0))),"")</f>
        <v/>
      </c>
      <c r="F43" s="23" t="str">
        <f t="array" ref="F43">IFERROR(IF(I43="","",INDEX('📦 Registro'!$C$4:$C$103,MATCH(I43,'📦 Registro'!$A$4:$A$103,0))),"")</f>
        <v/>
      </c>
      <c r="G43" s="22" t="str">
        <f t="array" ref="G43">IFERROR(IF(I43="","",INDEX('📦 Registro'!$N$4:$N$103,MATCH(I43,'📦 Registro'!$A$4:$A$103,0))),"")</f>
        <v/>
      </c>
      <c r="H43" s="60" t="str">
        <f t="shared" si="1"/>
        <v/>
      </c>
      <c r="I43" s="59" t="str">
        <f t="array" ref="I43">IFERROR(INDEX(#REF!,MATCH(SMALL(IF(#REF!&lt;&gt;"",ROW(#REF!)-3),40),#REF!,0)),"")</f>
        <v/>
      </c>
    </row>
    <row r="44" ht="15.0" customHeight="1">
      <c r="A44" s="6" t="str">
        <f t="array" ref="A44">IFERROR(IF(I44="","",INDEX('📦 Registro'!$A$4:$A$103,MATCH(I44,'📦 Registro'!$A$4:$A$103,0))),"")</f>
        <v/>
      </c>
      <c r="B44" s="6" t="str">
        <f t="array" ref="B44">IFERROR(IF(I44="","",INDEX('📦 Registro'!$B$4:$B$103,MATCH(I44,'📦 Registro'!$A$4:$A$103,0))),"")</f>
        <v/>
      </c>
      <c r="C44" s="24" t="str">
        <f t="array" ref="C44">IFERROR(IF(I44="","",INDEX('📦 Registro'!$D$4:$D$103,MATCH(I44,'📦 Registro'!$A$4:$A$103,0))),"")</f>
        <v/>
      </c>
      <c r="D44" s="6" t="str">
        <f t="array" ref="D44">IFERROR(IF(I44="","",INDEX('📦 Registro'!$E$4:$E$103,MATCH(I44,'📦 Registro'!$A$4:$A$103,0))),"")</f>
        <v/>
      </c>
      <c r="E44" s="6" t="str">
        <f t="array" ref="E44">IFERROR(IF(I44="","",INDEX('📦 Registro'!$I$4:$I$103,MATCH(I44,'📦 Registro'!$A$4:$A$103,0))),"")</f>
        <v/>
      </c>
      <c r="F44" s="29" t="str">
        <f t="array" ref="F44">IFERROR(IF(I44="","",INDEX('📦 Registro'!$C$4:$C$103,MATCH(I44,'📦 Registro'!$A$4:$A$103,0))),"")</f>
        <v/>
      </c>
      <c r="G44" s="11" t="str">
        <f t="array" ref="G44">IFERROR(IF(I44="","",INDEX('📦 Registro'!$N$4:$N$103,MATCH(I44,'📦 Registro'!$A$4:$A$103,0))),"")</f>
        <v/>
      </c>
      <c r="H44" s="58" t="str">
        <f t="shared" si="1"/>
        <v/>
      </c>
      <c r="I44" s="59" t="str">
        <f t="array" ref="I44">IFERROR(INDEX(#REF!,MATCH(SMALL(IF(#REF!&lt;&gt;"",ROW(#REF!)-3),41),#REF!,0)),"")</f>
        <v/>
      </c>
    </row>
    <row r="45" ht="15.0" customHeight="1">
      <c r="A45" s="18" t="str">
        <f t="array" ref="A45">IFERROR(IF(I45="","",INDEX('📦 Registro'!$A$4:$A$103,MATCH(I45,'📦 Registro'!$A$4:$A$103,0))),"")</f>
        <v/>
      </c>
      <c r="B45" s="18" t="str">
        <f t="array" ref="B45">IFERROR(IF(I45="","",INDEX('📦 Registro'!$B$4:$B$103,MATCH(I45,'📦 Registro'!$A$4:$A$103,0))),"")</f>
        <v/>
      </c>
      <c r="C45" s="20" t="str">
        <f t="array" ref="C45">IFERROR(IF(I45="","",INDEX('📦 Registro'!$D$4:$D$103,MATCH(I45,'📦 Registro'!$A$4:$A$103,0))),"")</f>
        <v/>
      </c>
      <c r="D45" s="18" t="str">
        <f t="array" ref="D45">IFERROR(IF(I45="","",INDEX('📦 Registro'!$E$4:$E$103,MATCH(I45,'📦 Registro'!$A$4:$A$103,0))),"")</f>
        <v/>
      </c>
      <c r="E45" s="18" t="str">
        <f t="array" ref="E45">IFERROR(IF(I45="","",INDEX('📦 Registro'!$I$4:$I$103,MATCH(I45,'📦 Registro'!$A$4:$A$103,0))),"")</f>
        <v/>
      </c>
      <c r="F45" s="23" t="str">
        <f t="array" ref="F45">IFERROR(IF(I45="","",INDEX('📦 Registro'!$C$4:$C$103,MATCH(I45,'📦 Registro'!$A$4:$A$103,0))),"")</f>
        <v/>
      </c>
      <c r="G45" s="22" t="str">
        <f t="array" ref="G45">IFERROR(IF(I45="","",INDEX('📦 Registro'!$N$4:$N$103,MATCH(I45,'📦 Registro'!$A$4:$A$103,0))),"")</f>
        <v/>
      </c>
      <c r="H45" s="60" t="str">
        <f t="shared" si="1"/>
        <v/>
      </c>
      <c r="I45" s="59" t="str">
        <f t="array" ref="I45">IFERROR(INDEX(#REF!,MATCH(SMALL(IF(#REF!&lt;&gt;"",ROW(#REF!)-3),42),#REF!,0)),"")</f>
        <v/>
      </c>
    </row>
    <row r="46" ht="15.0" customHeight="1">
      <c r="A46" s="6" t="str">
        <f t="array" ref="A46">IFERROR(IF(I46="","",INDEX('📦 Registro'!$A$4:$A$103,MATCH(I46,'📦 Registro'!$A$4:$A$103,0))),"")</f>
        <v/>
      </c>
      <c r="B46" s="6" t="str">
        <f t="array" ref="B46">IFERROR(IF(I46="","",INDEX('📦 Registro'!$B$4:$B$103,MATCH(I46,'📦 Registro'!$A$4:$A$103,0))),"")</f>
        <v/>
      </c>
      <c r="C46" s="24" t="str">
        <f t="array" ref="C46">IFERROR(IF(I46="","",INDEX('📦 Registro'!$D$4:$D$103,MATCH(I46,'📦 Registro'!$A$4:$A$103,0))),"")</f>
        <v/>
      </c>
      <c r="D46" s="6" t="str">
        <f t="array" ref="D46">IFERROR(IF(I46="","",INDEX('📦 Registro'!$E$4:$E$103,MATCH(I46,'📦 Registro'!$A$4:$A$103,0))),"")</f>
        <v/>
      </c>
      <c r="E46" s="6" t="str">
        <f t="array" ref="E46">IFERROR(IF(I46="","",INDEX('📦 Registro'!$I$4:$I$103,MATCH(I46,'📦 Registro'!$A$4:$A$103,0))),"")</f>
        <v/>
      </c>
      <c r="F46" s="29" t="str">
        <f t="array" ref="F46">IFERROR(IF(I46="","",INDEX('📦 Registro'!$C$4:$C$103,MATCH(I46,'📦 Registro'!$A$4:$A$103,0))),"")</f>
        <v/>
      </c>
      <c r="G46" s="11" t="str">
        <f t="array" ref="G46">IFERROR(IF(I46="","",INDEX('📦 Registro'!$N$4:$N$103,MATCH(I46,'📦 Registro'!$A$4:$A$103,0))),"")</f>
        <v/>
      </c>
      <c r="H46" s="58" t="str">
        <f t="shared" si="1"/>
        <v/>
      </c>
      <c r="I46" s="59" t="str">
        <f t="array" ref="I46">IFERROR(INDEX(#REF!,MATCH(SMALL(IF(#REF!&lt;&gt;"",ROW(#REF!)-3),43),#REF!,0)),"")</f>
        <v/>
      </c>
    </row>
    <row r="47" ht="15.0" customHeight="1">
      <c r="A47" s="18" t="str">
        <f t="array" ref="A47">IFERROR(IF(I47="","",INDEX('📦 Registro'!$A$4:$A$103,MATCH(I47,'📦 Registro'!$A$4:$A$103,0))),"")</f>
        <v/>
      </c>
      <c r="B47" s="18" t="str">
        <f t="array" ref="B47">IFERROR(IF(I47="","",INDEX('📦 Registro'!$B$4:$B$103,MATCH(I47,'📦 Registro'!$A$4:$A$103,0))),"")</f>
        <v/>
      </c>
      <c r="C47" s="20" t="str">
        <f t="array" ref="C47">IFERROR(IF(I47="","",INDEX('📦 Registro'!$D$4:$D$103,MATCH(I47,'📦 Registro'!$A$4:$A$103,0))),"")</f>
        <v/>
      </c>
      <c r="D47" s="18" t="str">
        <f t="array" ref="D47">IFERROR(IF(I47="","",INDEX('📦 Registro'!$E$4:$E$103,MATCH(I47,'📦 Registro'!$A$4:$A$103,0))),"")</f>
        <v/>
      </c>
      <c r="E47" s="18" t="str">
        <f t="array" ref="E47">IFERROR(IF(I47="","",INDEX('📦 Registro'!$I$4:$I$103,MATCH(I47,'📦 Registro'!$A$4:$A$103,0))),"")</f>
        <v/>
      </c>
      <c r="F47" s="23" t="str">
        <f t="array" ref="F47">IFERROR(IF(I47="","",INDEX('📦 Registro'!$C$4:$C$103,MATCH(I47,'📦 Registro'!$A$4:$A$103,0))),"")</f>
        <v/>
      </c>
      <c r="G47" s="22" t="str">
        <f t="array" ref="G47">IFERROR(IF(I47="","",INDEX('📦 Registro'!$N$4:$N$103,MATCH(I47,'📦 Registro'!$A$4:$A$103,0))),"")</f>
        <v/>
      </c>
      <c r="H47" s="60" t="str">
        <f t="shared" si="1"/>
        <v/>
      </c>
      <c r="I47" s="59" t="str">
        <f t="array" ref="I47">IFERROR(INDEX(#REF!,MATCH(SMALL(IF(#REF!&lt;&gt;"",ROW(#REF!)-3),44),#REF!,0)),"")</f>
        <v/>
      </c>
    </row>
    <row r="48" ht="15.0" customHeight="1">
      <c r="A48" s="6" t="str">
        <f t="array" ref="A48">IFERROR(IF(I48="","",INDEX('📦 Registro'!$A$4:$A$103,MATCH(I48,'📦 Registro'!$A$4:$A$103,0))),"")</f>
        <v/>
      </c>
      <c r="B48" s="6" t="str">
        <f t="array" ref="B48">IFERROR(IF(I48="","",INDEX('📦 Registro'!$B$4:$B$103,MATCH(I48,'📦 Registro'!$A$4:$A$103,0))),"")</f>
        <v/>
      </c>
      <c r="C48" s="24" t="str">
        <f t="array" ref="C48">IFERROR(IF(I48="","",INDEX('📦 Registro'!$D$4:$D$103,MATCH(I48,'📦 Registro'!$A$4:$A$103,0))),"")</f>
        <v/>
      </c>
      <c r="D48" s="6" t="str">
        <f t="array" ref="D48">IFERROR(IF(I48="","",INDEX('📦 Registro'!$E$4:$E$103,MATCH(I48,'📦 Registro'!$A$4:$A$103,0))),"")</f>
        <v/>
      </c>
      <c r="E48" s="6" t="str">
        <f t="array" ref="E48">IFERROR(IF(I48="","",INDEX('📦 Registro'!$I$4:$I$103,MATCH(I48,'📦 Registro'!$A$4:$A$103,0))),"")</f>
        <v/>
      </c>
      <c r="F48" s="29" t="str">
        <f t="array" ref="F48">IFERROR(IF(I48="","",INDEX('📦 Registro'!$C$4:$C$103,MATCH(I48,'📦 Registro'!$A$4:$A$103,0))),"")</f>
        <v/>
      </c>
      <c r="G48" s="11" t="str">
        <f t="array" ref="G48">IFERROR(IF(I48="","",INDEX('📦 Registro'!$N$4:$N$103,MATCH(I48,'📦 Registro'!$A$4:$A$103,0))),"")</f>
        <v/>
      </c>
      <c r="H48" s="58" t="str">
        <f t="shared" si="1"/>
        <v/>
      </c>
      <c r="I48" s="59" t="str">
        <f t="array" ref="I48">IFERROR(INDEX(#REF!,MATCH(SMALL(IF(#REF!&lt;&gt;"",ROW(#REF!)-3),45),#REF!,0)),"")</f>
        <v/>
      </c>
    </row>
    <row r="49" ht="15.0" customHeight="1">
      <c r="A49" s="18" t="str">
        <f t="array" ref="A49">IFERROR(IF(I49="","",INDEX('📦 Registro'!$A$4:$A$103,MATCH(I49,'📦 Registro'!$A$4:$A$103,0))),"")</f>
        <v/>
      </c>
      <c r="B49" s="18" t="str">
        <f t="array" ref="B49">IFERROR(IF(I49="","",INDEX('📦 Registro'!$B$4:$B$103,MATCH(I49,'📦 Registro'!$A$4:$A$103,0))),"")</f>
        <v/>
      </c>
      <c r="C49" s="20" t="str">
        <f t="array" ref="C49">IFERROR(IF(I49="","",INDEX('📦 Registro'!$D$4:$D$103,MATCH(I49,'📦 Registro'!$A$4:$A$103,0))),"")</f>
        <v/>
      </c>
      <c r="D49" s="18" t="str">
        <f t="array" ref="D49">IFERROR(IF(I49="","",INDEX('📦 Registro'!$E$4:$E$103,MATCH(I49,'📦 Registro'!$A$4:$A$103,0))),"")</f>
        <v/>
      </c>
      <c r="E49" s="18" t="str">
        <f t="array" ref="E49">IFERROR(IF(I49="","",INDEX('📦 Registro'!$I$4:$I$103,MATCH(I49,'📦 Registro'!$A$4:$A$103,0))),"")</f>
        <v/>
      </c>
      <c r="F49" s="23" t="str">
        <f t="array" ref="F49">IFERROR(IF(I49="","",INDEX('📦 Registro'!$C$4:$C$103,MATCH(I49,'📦 Registro'!$A$4:$A$103,0))),"")</f>
        <v/>
      </c>
      <c r="G49" s="22" t="str">
        <f t="array" ref="G49">IFERROR(IF(I49="","",INDEX('📦 Registro'!$N$4:$N$103,MATCH(I49,'📦 Registro'!$A$4:$A$103,0))),"")</f>
        <v/>
      </c>
      <c r="H49" s="60" t="str">
        <f t="shared" si="1"/>
        <v/>
      </c>
      <c r="I49" s="59" t="str">
        <f t="array" ref="I49">IFERROR(INDEX(#REF!,MATCH(SMALL(IF(#REF!&lt;&gt;"",ROW(#REF!)-3),46),#REF!,0)),"")</f>
        <v/>
      </c>
    </row>
    <row r="50" ht="15.0" customHeight="1">
      <c r="A50" s="6" t="str">
        <f t="array" ref="A50">IFERROR(IF(I50="","",INDEX('📦 Registro'!$A$4:$A$103,MATCH(I50,'📦 Registro'!$A$4:$A$103,0))),"")</f>
        <v/>
      </c>
      <c r="B50" s="6" t="str">
        <f t="array" ref="B50">IFERROR(IF(I50="","",INDEX('📦 Registro'!$B$4:$B$103,MATCH(I50,'📦 Registro'!$A$4:$A$103,0))),"")</f>
        <v/>
      </c>
      <c r="C50" s="24" t="str">
        <f t="array" ref="C50">IFERROR(IF(I50="","",INDEX('📦 Registro'!$D$4:$D$103,MATCH(I50,'📦 Registro'!$A$4:$A$103,0))),"")</f>
        <v/>
      </c>
      <c r="D50" s="6" t="str">
        <f t="array" ref="D50">IFERROR(IF(I50="","",INDEX('📦 Registro'!$E$4:$E$103,MATCH(I50,'📦 Registro'!$A$4:$A$103,0))),"")</f>
        <v/>
      </c>
      <c r="E50" s="6" t="str">
        <f t="array" ref="E50">IFERROR(IF(I50="","",INDEX('📦 Registro'!$I$4:$I$103,MATCH(I50,'📦 Registro'!$A$4:$A$103,0))),"")</f>
        <v/>
      </c>
      <c r="F50" s="29" t="str">
        <f t="array" ref="F50">IFERROR(IF(I50="","",INDEX('📦 Registro'!$C$4:$C$103,MATCH(I50,'📦 Registro'!$A$4:$A$103,0))),"")</f>
        <v/>
      </c>
      <c r="G50" s="11" t="str">
        <f t="array" ref="G50">IFERROR(IF(I50="","",INDEX('📦 Registro'!$N$4:$N$103,MATCH(I50,'📦 Registro'!$A$4:$A$103,0))),"")</f>
        <v/>
      </c>
      <c r="H50" s="58" t="str">
        <f t="shared" si="1"/>
        <v/>
      </c>
      <c r="I50" s="59" t="str">
        <f t="array" ref="I50">IFERROR(INDEX(#REF!,MATCH(SMALL(IF(#REF!&lt;&gt;"",ROW(#REF!)-3),47),#REF!,0)),"")</f>
        <v/>
      </c>
    </row>
    <row r="51" ht="15.0" customHeight="1">
      <c r="A51" s="18" t="str">
        <f t="array" ref="A51">IFERROR(IF(I51="","",INDEX('📦 Registro'!$A$4:$A$103,MATCH(I51,'📦 Registro'!$A$4:$A$103,0))),"")</f>
        <v/>
      </c>
      <c r="B51" s="18" t="str">
        <f t="array" ref="B51">IFERROR(IF(I51="","",INDEX('📦 Registro'!$B$4:$B$103,MATCH(I51,'📦 Registro'!$A$4:$A$103,0))),"")</f>
        <v/>
      </c>
      <c r="C51" s="20" t="str">
        <f t="array" ref="C51">IFERROR(IF(I51="","",INDEX('📦 Registro'!$D$4:$D$103,MATCH(I51,'📦 Registro'!$A$4:$A$103,0))),"")</f>
        <v/>
      </c>
      <c r="D51" s="18" t="str">
        <f t="array" ref="D51">IFERROR(IF(I51="","",INDEX('📦 Registro'!$E$4:$E$103,MATCH(I51,'📦 Registro'!$A$4:$A$103,0))),"")</f>
        <v/>
      </c>
      <c r="E51" s="18" t="str">
        <f t="array" ref="E51">IFERROR(IF(I51="","",INDEX('📦 Registro'!$I$4:$I$103,MATCH(I51,'📦 Registro'!$A$4:$A$103,0))),"")</f>
        <v/>
      </c>
      <c r="F51" s="23" t="str">
        <f t="array" ref="F51">IFERROR(IF(I51="","",INDEX('📦 Registro'!$C$4:$C$103,MATCH(I51,'📦 Registro'!$A$4:$A$103,0))),"")</f>
        <v/>
      </c>
      <c r="G51" s="22" t="str">
        <f t="array" ref="G51">IFERROR(IF(I51="","",INDEX('📦 Registro'!$N$4:$N$103,MATCH(I51,'📦 Registro'!$A$4:$A$103,0))),"")</f>
        <v/>
      </c>
      <c r="H51" s="60" t="str">
        <f t="shared" si="1"/>
        <v/>
      </c>
      <c r="I51" s="59" t="str">
        <f t="array" ref="I51">IFERROR(INDEX(#REF!,MATCH(SMALL(IF(#REF!&lt;&gt;"",ROW(#REF!)-3),48),#REF!,0)),"")</f>
        <v/>
      </c>
    </row>
    <row r="52" ht="15.0" customHeight="1">
      <c r="A52" s="6" t="str">
        <f t="array" ref="A52">IFERROR(IF(I52="","",INDEX('📦 Registro'!$A$4:$A$103,MATCH(I52,'📦 Registro'!$A$4:$A$103,0))),"")</f>
        <v/>
      </c>
      <c r="B52" s="6" t="str">
        <f t="array" ref="B52">IFERROR(IF(I52="","",INDEX('📦 Registro'!$B$4:$B$103,MATCH(I52,'📦 Registro'!$A$4:$A$103,0))),"")</f>
        <v/>
      </c>
      <c r="C52" s="24" t="str">
        <f t="array" ref="C52">IFERROR(IF(I52="","",INDEX('📦 Registro'!$D$4:$D$103,MATCH(I52,'📦 Registro'!$A$4:$A$103,0))),"")</f>
        <v/>
      </c>
      <c r="D52" s="6" t="str">
        <f t="array" ref="D52">IFERROR(IF(I52="","",INDEX('📦 Registro'!$E$4:$E$103,MATCH(I52,'📦 Registro'!$A$4:$A$103,0))),"")</f>
        <v/>
      </c>
      <c r="E52" s="6" t="str">
        <f t="array" ref="E52">IFERROR(IF(I52="","",INDEX('📦 Registro'!$I$4:$I$103,MATCH(I52,'📦 Registro'!$A$4:$A$103,0))),"")</f>
        <v/>
      </c>
      <c r="F52" s="29" t="str">
        <f t="array" ref="F52">IFERROR(IF(I52="","",INDEX('📦 Registro'!$C$4:$C$103,MATCH(I52,'📦 Registro'!$A$4:$A$103,0))),"")</f>
        <v/>
      </c>
      <c r="G52" s="11" t="str">
        <f t="array" ref="G52">IFERROR(IF(I52="","",INDEX('📦 Registro'!$N$4:$N$103,MATCH(I52,'📦 Registro'!$A$4:$A$103,0))),"")</f>
        <v/>
      </c>
      <c r="H52" s="58" t="str">
        <f t="shared" si="1"/>
        <v/>
      </c>
      <c r="I52" s="59" t="str">
        <f t="array" ref="I52">IFERROR(INDEX(#REF!,MATCH(SMALL(IF(#REF!&lt;&gt;"",ROW(#REF!)-3),49),#REF!,0)),"")</f>
        <v/>
      </c>
    </row>
    <row r="53" ht="15.0" customHeight="1">
      <c r="A53" s="18" t="str">
        <f t="array" ref="A53">IFERROR(IF(I53="","",INDEX('📦 Registro'!$A$4:$A$103,MATCH(I53,'📦 Registro'!$A$4:$A$103,0))),"")</f>
        <v/>
      </c>
      <c r="B53" s="18" t="str">
        <f t="array" ref="B53">IFERROR(IF(I53="","",INDEX('📦 Registro'!$B$4:$B$103,MATCH(I53,'📦 Registro'!$A$4:$A$103,0))),"")</f>
        <v/>
      </c>
      <c r="C53" s="20" t="str">
        <f t="array" ref="C53">IFERROR(IF(I53="","",INDEX('📦 Registro'!$D$4:$D$103,MATCH(I53,'📦 Registro'!$A$4:$A$103,0))),"")</f>
        <v/>
      </c>
      <c r="D53" s="18" t="str">
        <f t="array" ref="D53">IFERROR(IF(I53="","",INDEX('📦 Registro'!$E$4:$E$103,MATCH(I53,'📦 Registro'!$A$4:$A$103,0))),"")</f>
        <v/>
      </c>
      <c r="E53" s="18" t="str">
        <f t="array" ref="E53">IFERROR(IF(I53="","",INDEX('📦 Registro'!$I$4:$I$103,MATCH(I53,'📦 Registro'!$A$4:$A$103,0))),"")</f>
        <v/>
      </c>
      <c r="F53" s="23" t="str">
        <f t="array" ref="F53">IFERROR(IF(I53="","",INDEX('📦 Registro'!$C$4:$C$103,MATCH(I53,'📦 Registro'!$A$4:$A$103,0))),"")</f>
        <v/>
      </c>
      <c r="G53" s="22" t="str">
        <f t="array" ref="G53">IFERROR(IF(I53="","",INDEX('📦 Registro'!$N$4:$N$103,MATCH(I53,'📦 Registro'!$A$4:$A$103,0))),"")</f>
        <v/>
      </c>
      <c r="H53" s="60" t="str">
        <f t="shared" si="1"/>
        <v/>
      </c>
      <c r="I53" s="59" t="str">
        <f t="array" ref="I53">IFERROR(INDEX(#REF!,MATCH(SMALL(IF(#REF!&lt;&gt;"",ROW(#REF!)-3),50),#REF!,0)),"")</f>
        <v/>
      </c>
    </row>
    <row r="54" ht="15.0" customHeight="1">
      <c r="A54" s="6" t="str">
        <f t="array" ref="A54">IFERROR(IF(I54="","",INDEX('📦 Registro'!$A$4:$A$103,MATCH(I54,'📦 Registro'!$A$4:$A$103,0))),"")</f>
        <v/>
      </c>
      <c r="B54" s="6" t="str">
        <f t="array" ref="B54">IFERROR(IF(I54="","",INDEX('📦 Registro'!$B$4:$B$103,MATCH(I54,'📦 Registro'!$A$4:$A$103,0))),"")</f>
        <v/>
      </c>
      <c r="C54" s="24" t="str">
        <f t="array" ref="C54">IFERROR(IF(I54="","",INDEX('📦 Registro'!$D$4:$D$103,MATCH(I54,'📦 Registro'!$A$4:$A$103,0))),"")</f>
        <v/>
      </c>
      <c r="D54" s="6" t="str">
        <f t="array" ref="D54">IFERROR(IF(I54="","",INDEX('📦 Registro'!$E$4:$E$103,MATCH(I54,'📦 Registro'!$A$4:$A$103,0))),"")</f>
        <v/>
      </c>
      <c r="E54" s="6" t="str">
        <f t="array" ref="E54">IFERROR(IF(I54="","",INDEX('📦 Registro'!$I$4:$I$103,MATCH(I54,'📦 Registro'!$A$4:$A$103,0))),"")</f>
        <v/>
      </c>
      <c r="F54" s="29" t="str">
        <f t="array" ref="F54">IFERROR(IF(I54="","",INDEX('📦 Registro'!$C$4:$C$103,MATCH(I54,'📦 Registro'!$A$4:$A$103,0))),"")</f>
        <v/>
      </c>
      <c r="G54" s="11" t="str">
        <f t="array" ref="G54">IFERROR(IF(I54="","",INDEX('📦 Registro'!$N$4:$N$103,MATCH(I54,'📦 Registro'!$A$4:$A$103,0))),"")</f>
        <v/>
      </c>
      <c r="H54" s="58" t="str">
        <f t="shared" si="1"/>
        <v/>
      </c>
      <c r="I54" s="59" t="str">
        <f t="array" ref="I54">IFERROR(INDEX(#REF!,MATCH(SMALL(IF(#REF!&lt;&gt;"",ROW(#REF!)-3),51),#REF!,0)),"")</f>
        <v/>
      </c>
    </row>
    <row r="55" ht="15.0" customHeight="1">
      <c r="A55" s="18" t="str">
        <f t="array" ref="A55">IFERROR(IF(I55="","",INDEX('📦 Registro'!$A$4:$A$103,MATCH(I55,'📦 Registro'!$A$4:$A$103,0))),"")</f>
        <v/>
      </c>
      <c r="B55" s="18" t="str">
        <f t="array" ref="B55">IFERROR(IF(I55="","",INDEX('📦 Registro'!$B$4:$B$103,MATCH(I55,'📦 Registro'!$A$4:$A$103,0))),"")</f>
        <v/>
      </c>
      <c r="C55" s="20" t="str">
        <f t="array" ref="C55">IFERROR(IF(I55="","",INDEX('📦 Registro'!$D$4:$D$103,MATCH(I55,'📦 Registro'!$A$4:$A$103,0))),"")</f>
        <v/>
      </c>
      <c r="D55" s="18" t="str">
        <f t="array" ref="D55">IFERROR(IF(I55="","",INDEX('📦 Registro'!$E$4:$E$103,MATCH(I55,'📦 Registro'!$A$4:$A$103,0))),"")</f>
        <v/>
      </c>
      <c r="E55" s="18" t="str">
        <f t="array" ref="E55">IFERROR(IF(I55="","",INDEX('📦 Registro'!$I$4:$I$103,MATCH(I55,'📦 Registro'!$A$4:$A$103,0))),"")</f>
        <v/>
      </c>
      <c r="F55" s="23" t="str">
        <f t="array" ref="F55">IFERROR(IF(I55="","",INDEX('📦 Registro'!$C$4:$C$103,MATCH(I55,'📦 Registro'!$A$4:$A$103,0))),"")</f>
        <v/>
      </c>
      <c r="G55" s="22" t="str">
        <f t="array" ref="G55">IFERROR(IF(I55="","",INDEX('📦 Registro'!$N$4:$N$103,MATCH(I55,'📦 Registro'!$A$4:$A$103,0))),"")</f>
        <v/>
      </c>
      <c r="H55" s="60" t="str">
        <f t="shared" si="1"/>
        <v/>
      </c>
      <c r="I55" s="59" t="str">
        <f t="array" ref="I55">IFERROR(INDEX(#REF!,MATCH(SMALL(IF(#REF!&lt;&gt;"",ROW(#REF!)-3),52),#REF!,0)),"")</f>
        <v/>
      </c>
    </row>
    <row r="56" ht="15.0" customHeight="1">
      <c r="A56" s="6" t="str">
        <f t="array" ref="A56">IFERROR(IF(I56="","",INDEX('📦 Registro'!$A$4:$A$103,MATCH(I56,'📦 Registro'!$A$4:$A$103,0))),"")</f>
        <v/>
      </c>
      <c r="B56" s="6" t="str">
        <f t="array" ref="B56">IFERROR(IF(I56="","",INDEX('📦 Registro'!$B$4:$B$103,MATCH(I56,'📦 Registro'!$A$4:$A$103,0))),"")</f>
        <v/>
      </c>
      <c r="C56" s="24" t="str">
        <f t="array" ref="C56">IFERROR(IF(I56="","",INDEX('📦 Registro'!$D$4:$D$103,MATCH(I56,'📦 Registro'!$A$4:$A$103,0))),"")</f>
        <v/>
      </c>
      <c r="D56" s="6" t="str">
        <f t="array" ref="D56">IFERROR(IF(I56="","",INDEX('📦 Registro'!$E$4:$E$103,MATCH(I56,'📦 Registro'!$A$4:$A$103,0))),"")</f>
        <v/>
      </c>
      <c r="E56" s="6" t="str">
        <f t="array" ref="E56">IFERROR(IF(I56="","",INDEX('📦 Registro'!$I$4:$I$103,MATCH(I56,'📦 Registro'!$A$4:$A$103,0))),"")</f>
        <v/>
      </c>
      <c r="F56" s="29" t="str">
        <f t="array" ref="F56">IFERROR(IF(I56="","",INDEX('📦 Registro'!$C$4:$C$103,MATCH(I56,'📦 Registro'!$A$4:$A$103,0))),"")</f>
        <v/>
      </c>
      <c r="G56" s="11" t="str">
        <f t="array" ref="G56">IFERROR(IF(I56="","",INDEX('📦 Registro'!$N$4:$N$103,MATCH(I56,'📦 Registro'!$A$4:$A$103,0))),"")</f>
        <v/>
      </c>
      <c r="H56" s="58" t="str">
        <f t="shared" si="1"/>
        <v/>
      </c>
      <c r="I56" s="59" t="str">
        <f t="array" ref="I56">IFERROR(INDEX(#REF!,MATCH(SMALL(IF(#REF!&lt;&gt;"",ROW(#REF!)-3),53),#REF!,0)),"")</f>
        <v/>
      </c>
    </row>
    <row r="57" ht="15.0" customHeight="1">
      <c r="A57" s="18" t="str">
        <f t="array" ref="A57">IFERROR(IF(I57="","",INDEX('📦 Registro'!$A$4:$A$103,MATCH(I57,'📦 Registro'!$A$4:$A$103,0))),"")</f>
        <v/>
      </c>
      <c r="B57" s="18" t="str">
        <f t="array" ref="B57">IFERROR(IF(I57="","",INDEX('📦 Registro'!$B$4:$B$103,MATCH(I57,'📦 Registro'!$A$4:$A$103,0))),"")</f>
        <v/>
      </c>
      <c r="C57" s="20" t="str">
        <f t="array" ref="C57">IFERROR(IF(I57="","",INDEX('📦 Registro'!$D$4:$D$103,MATCH(I57,'📦 Registro'!$A$4:$A$103,0))),"")</f>
        <v/>
      </c>
      <c r="D57" s="18" t="str">
        <f t="array" ref="D57">IFERROR(IF(I57="","",INDEX('📦 Registro'!$E$4:$E$103,MATCH(I57,'📦 Registro'!$A$4:$A$103,0))),"")</f>
        <v/>
      </c>
      <c r="E57" s="18" t="str">
        <f t="array" ref="E57">IFERROR(IF(I57="","",INDEX('📦 Registro'!$I$4:$I$103,MATCH(I57,'📦 Registro'!$A$4:$A$103,0))),"")</f>
        <v/>
      </c>
      <c r="F57" s="23" t="str">
        <f t="array" ref="F57">IFERROR(IF(I57="","",INDEX('📦 Registro'!$C$4:$C$103,MATCH(I57,'📦 Registro'!$A$4:$A$103,0))),"")</f>
        <v/>
      </c>
      <c r="G57" s="22" t="str">
        <f t="array" ref="G57">IFERROR(IF(I57="","",INDEX('📦 Registro'!$N$4:$N$103,MATCH(I57,'📦 Registro'!$A$4:$A$103,0))),"")</f>
        <v/>
      </c>
      <c r="H57" s="60" t="str">
        <f t="shared" si="1"/>
        <v/>
      </c>
      <c r="I57" s="59" t="str">
        <f t="array" ref="I57">IFERROR(INDEX(#REF!,MATCH(SMALL(IF(#REF!&lt;&gt;"",ROW(#REF!)-3),54),#REF!,0)),"")</f>
        <v/>
      </c>
    </row>
    <row r="58" ht="15.0" customHeight="1">
      <c r="A58" s="6" t="str">
        <f t="array" ref="A58">IFERROR(IF(I58="","",INDEX('📦 Registro'!$A$4:$A$103,MATCH(I58,'📦 Registro'!$A$4:$A$103,0))),"")</f>
        <v/>
      </c>
      <c r="B58" s="6" t="str">
        <f t="array" ref="B58">IFERROR(IF(I58="","",INDEX('📦 Registro'!$B$4:$B$103,MATCH(I58,'📦 Registro'!$A$4:$A$103,0))),"")</f>
        <v/>
      </c>
      <c r="C58" s="24" t="str">
        <f t="array" ref="C58">IFERROR(IF(I58="","",INDEX('📦 Registro'!$D$4:$D$103,MATCH(I58,'📦 Registro'!$A$4:$A$103,0))),"")</f>
        <v/>
      </c>
      <c r="D58" s="6" t="str">
        <f t="array" ref="D58">IFERROR(IF(I58="","",INDEX('📦 Registro'!$E$4:$E$103,MATCH(I58,'📦 Registro'!$A$4:$A$103,0))),"")</f>
        <v/>
      </c>
      <c r="E58" s="6" t="str">
        <f t="array" ref="E58">IFERROR(IF(I58="","",INDEX('📦 Registro'!$I$4:$I$103,MATCH(I58,'📦 Registro'!$A$4:$A$103,0))),"")</f>
        <v/>
      </c>
      <c r="F58" s="29" t="str">
        <f t="array" ref="F58">IFERROR(IF(I58="","",INDEX('📦 Registro'!$C$4:$C$103,MATCH(I58,'📦 Registro'!$A$4:$A$103,0))),"")</f>
        <v/>
      </c>
      <c r="G58" s="11" t="str">
        <f t="array" ref="G58">IFERROR(IF(I58="","",INDEX('📦 Registro'!$N$4:$N$103,MATCH(I58,'📦 Registro'!$A$4:$A$103,0))),"")</f>
        <v/>
      </c>
      <c r="H58" s="58" t="str">
        <f t="shared" si="1"/>
        <v/>
      </c>
      <c r="I58" s="59" t="str">
        <f t="array" ref="I58">IFERROR(INDEX(#REF!,MATCH(SMALL(IF(#REF!&lt;&gt;"",ROW(#REF!)-3),55),#REF!,0)),"")</f>
        <v/>
      </c>
    </row>
    <row r="59" ht="15.0" customHeight="1">
      <c r="A59" s="18" t="str">
        <f t="array" ref="A59">IFERROR(IF(I59="","",INDEX('📦 Registro'!$A$4:$A$103,MATCH(I59,'📦 Registro'!$A$4:$A$103,0))),"")</f>
        <v/>
      </c>
      <c r="B59" s="18" t="str">
        <f t="array" ref="B59">IFERROR(IF(I59="","",INDEX('📦 Registro'!$B$4:$B$103,MATCH(I59,'📦 Registro'!$A$4:$A$103,0))),"")</f>
        <v/>
      </c>
      <c r="C59" s="20" t="str">
        <f t="array" ref="C59">IFERROR(IF(I59="","",INDEX('📦 Registro'!$D$4:$D$103,MATCH(I59,'📦 Registro'!$A$4:$A$103,0))),"")</f>
        <v/>
      </c>
      <c r="D59" s="18" t="str">
        <f t="array" ref="D59">IFERROR(IF(I59="","",INDEX('📦 Registro'!$E$4:$E$103,MATCH(I59,'📦 Registro'!$A$4:$A$103,0))),"")</f>
        <v/>
      </c>
      <c r="E59" s="18" t="str">
        <f t="array" ref="E59">IFERROR(IF(I59="","",INDEX('📦 Registro'!$I$4:$I$103,MATCH(I59,'📦 Registro'!$A$4:$A$103,0))),"")</f>
        <v/>
      </c>
      <c r="F59" s="23" t="str">
        <f t="array" ref="F59">IFERROR(IF(I59="","",INDEX('📦 Registro'!$C$4:$C$103,MATCH(I59,'📦 Registro'!$A$4:$A$103,0))),"")</f>
        <v/>
      </c>
      <c r="G59" s="22" t="str">
        <f t="array" ref="G59">IFERROR(IF(I59="","",INDEX('📦 Registro'!$N$4:$N$103,MATCH(I59,'📦 Registro'!$A$4:$A$103,0))),"")</f>
        <v/>
      </c>
      <c r="H59" s="60" t="str">
        <f t="shared" si="1"/>
        <v/>
      </c>
      <c r="I59" s="59" t="str">
        <f t="array" ref="I59">IFERROR(INDEX(#REF!,MATCH(SMALL(IF(#REF!&lt;&gt;"",ROW(#REF!)-3),56),#REF!,0)),"")</f>
        <v/>
      </c>
    </row>
    <row r="60" ht="15.0" customHeight="1">
      <c r="A60" s="6" t="str">
        <f t="array" ref="A60">IFERROR(IF(I60="","",INDEX('📦 Registro'!$A$4:$A$103,MATCH(I60,'📦 Registro'!$A$4:$A$103,0))),"")</f>
        <v/>
      </c>
      <c r="B60" s="6" t="str">
        <f t="array" ref="B60">IFERROR(IF(I60="","",INDEX('📦 Registro'!$B$4:$B$103,MATCH(I60,'📦 Registro'!$A$4:$A$103,0))),"")</f>
        <v/>
      </c>
      <c r="C60" s="24" t="str">
        <f t="array" ref="C60">IFERROR(IF(I60="","",INDEX('📦 Registro'!$D$4:$D$103,MATCH(I60,'📦 Registro'!$A$4:$A$103,0))),"")</f>
        <v/>
      </c>
      <c r="D60" s="6" t="str">
        <f t="array" ref="D60">IFERROR(IF(I60="","",INDEX('📦 Registro'!$E$4:$E$103,MATCH(I60,'📦 Registro'!$A$4:$A$103,0))),"")</f>
        <v/>
      </c>
      <c r="E60" s="6" t="str">
        <f t="array" ref="E60">IFERROR(IF(I60="","",INDEX('📦 Registro'!$I$4:$I$103,MATCH(I60,'📦 Registro'!$A$4:$A$103,0))),"")</f>
        <v/>
      </c>
      <c r="F60" s="29" t="str">
        <f t="array" ref="F60">IFERROR(IF(I60="","",INDEX('📦 Registro'!$C$4:$C$103,MATCH(I60,'📦 Registro'!$A$4:$A$103,0))),"")</f>
        <v/>
      </c>
      <c r="G60" s="11" t="str">
        <f t="array" ref="G60">IFERROR(IF(I60="","",INDEX('📦 Registro'!$N$4:$N$103,MATCH(I60,'📦 Registro'!$A$4:$A$103,0))),"")</f>
        <v/>
      </c>
      <c r="H60" s="58" t="str">
        <f t="shared" si="1"/>
        <v/>
      </c>
      <c r="I60" s="59" t="str">
        <f t="array" ref="I60">IFERROR(INDEX(#REF!,MATCH(SMALL(IF(#REF!&lt;&gt;"",ROW(#REF!)-3),57),#REF!,0)),"")</f>
        <v/>
      </c>
    </row>
    <row r="61" ht="15.0" customHeight="1">
      <c r="A61" s="18" t="str">
        <f t="array" ref="A61">IFERROR(IF(I61="","",INDEX('📦 Registro'!$A$4:$A$103,MATCH(I61,'📦 Registro'!$A$4:$A$103,0))),"")</f>
        <v/>
      </c>
      <c r="B61" s="18" t="str">
        <f t="array" ref="B61">IFERROR(IF(I61="","",INDEX('📦 Registro'!$B$4:$B$103,MATCH(I61,'📦 Registro'!$A$4:$A$103,0))),"")</f>
        <v/>
      </c>
      <c r="C61" s="20" t="str">
        <f t="array" ref="C61">IFERROR(IF(I61="","",INDEX('📦 Registro'!$D$4:$D$103,MATCH(I61,'📦 Registro'!$A$4:$A$103,0))),"")</f>
        <v/>
      </c>
      <c r="D61" s="18" t="str">
        <f t="array" ref="D61">IFERROR(IF(I61="","",INDEX('📦 Registro'!$E$4:$E$103,MATCH(I61,'📦 Registro'!$A$4:$A$103,0))),"")</f>
        <v/>
      </c>
      <c r="E61" s="18" t="str">
        <f t="array" ref="E61">IFERROR(IF(I61="","",INDEX('📦 Registro'!$I$4:$I$103,MATCH(I61,'📦 Registro'!$A$4:$A$103,0))),"")</f>
        <v/>
      </c>
      <c r="F61" s="23" t="str">
        <f t="array" ref="F61">IFERROR(IF(I61="","",INDEX('📦 Registro'!$C$4:$C$103,MATCH(I61,'📦 Registro'!$A$4:$A$103,0))),"")</f>
        <v/>
      </c>
      <c r="G61" s="22" t="str">
        <f t="array" ref="G61">IFERROR(IF(I61="","",INDEX('📦 Registro'!$N$4:$N$103,MATCH(I61,'📦 Registro'!$A$4:$A$103,0))),"")</f>
        <v/>
      </c>
      <c r="H61" s="60" t="str">
        <f t="shared" si="1"/>
        <v/>
      </c>
      <c r="I61" s="59" t="str">
        <f t="array" ref="I61">IFERROR(INDEX(#REF!,MATCH(SMALL(IF(#REF!&lt;&gt;"",ROW(#REF!)-3),58),#REF!,0)),"")</f>
        <v/>
      </c>
    </row>
    <row r="62" ht="15.0" customHeight="1">
      <c r="A62" s="6" t="str">
        <f t="array" ref="A62">IFERROR(IF(I62="","",INDEX('📦 Registro'!$A$4:$A$103,MATCH(I62,'📦 Registro'!$A$4:$A$103,0))),"")</f>
        <v/>
      </c>
      <c r="B62" s="6" t="str">
        <f t="array" ref="B62">IFERROR(IF(I62="","",INDEX('📦 Registro'!$B$4:$B$103,MATCH(I62,'📦 Registro'!$A$4:$A$103,0))),"")</f>
        <v/>
      </c>
      <c r="C62" s="24" t="str">
        <f t="array" ref="C62">IFERROR(IF(I62="","",INDEX('📦 Registro'!$D$4:$D$103,MATCH(I62,'📦 Registro'!$A$4:$A$103,0))),"")</f>
        <v/>
      </c>
      <c r="D62" s="6" t="str">
        <f t="array" ref="D62">IFERROR(IF(I62="","",INDEX('📦 Registro'!$E$4:$E$103,MATCH(I62,'📦 Registro'!$A$4:$A$103,0))),"")</f>
        <v/>
      </c>
      <c r="E62" s="6" t="str">
        <f t="array" ref="E62">IFERROR(IF(I62="","",INDEX('📦 Registro'!$I$4:$I$103,MATCH(I62,'📦 Registro'!$A$4:$A$103,0))),"")</f>
        <v/>
      </c>
      <c r="F62" s="29" t="str">
        <f t="array" ref="F62">IFERROR(IF(I62="","",INDEX('📦 Registro'!$C$4:$C$103,MATCH(I62,'📦 Registro'!$A$4:$A$103,0))),"")</f>
        <v/>
      </c>
      <c r="G62" s="11" t="str">
        <f t="array" ref="G62">IFERROR(IF(I62="","",INDEX('📦 Registro'!$N$4:$N$103,MATCH(I62,'📦 Registro'!$A$4:$A$103,0))),"")</f>
        <v/>
      </c>
      <c r="H62" s="58" t="str">
        <f t="shared" si="1"/>
        <v/>
      </c>
      <c r="I62" s="59" t="str">
        <f t="array" ref="I62">IFERROR(INDEX(#REF!,MATCH(SMALL(IF(#REF!&lt;&gt;"",ROW(#REF!)-3),59),#REF!,0)),"")</f>
        <v/>
      </c>
    </row>
    <row r="63" ht="15.0" customHeight="1">
      <c r="A63" s="18" t="str">
        <f t="array" ref="A63">IFERROR(IF(I63="","",INDEX('📦 Registro'!$A$4:$A$103,MATCH(I63,'📦 Registro'!$A$4:$A$103,0))),"")</f>
        <v/>
      </c>
      <c r="B63" s="18" t="str">
        <f t="array" ref="B63">IFERROR(IF(I63="","",INDEX('📦 Registro'!$B$4:$B$103,MATCH(I63,'📦 Registro'!$A$4:$A$103,0))),"")</f>
        <v/>
      </c>
      <c r="C63" s="20" t="str">
        <f t="array" ref="C63">IFERROR(IF(I63="","",INDEX('📦 Registro'!$D$4:$D$103,MATCH(I63,'📦 Registro'!$A$4:$A$103,0))),"")</f>
        <v/>
      </c>
      <c r="D63" s="18" t="str">
        <f t="array" ref="D63">IFERROR(IF(I63="","",INDEX('📦 Registro'!$E$4:$E$103,MATCH(I63,'📦 Registro'!$A$4:$A$103,0))),"")</f>
        <v/>
      </c>
      <c r="E63" s="18" t="str">
        <f t="array" ref="E63">IFERROR(IF(I63="","",INDEX('📦 Registro'!$I$4:$I$103,MATCH(I63,'📦 Registro'!$A$4:$A$103,0))),"")</f>
        <v/>
      </c>
      <c r="F63" s="23" t="str">
        <f t="array" ref="F63">IFERROR(IF(I63="","",INDEX('📦 Registro'!$C$4:$C$103,MATCH(I63,'📦 Registro'!$A$4:$A$103,0))),"")</f>
        <v/>
      </c>
      <c r="G63" s="22" t="str">
        <f t="array" ref="G63">IFERROR(IF(I63="","",INDEX('📦 Registro'!$N$4:$N$103,MATCH(I63,'📦 Registro'!$A$4:$A$103,0))),"")</f>
        <v/>
      </c>
      <c r="H63" s="60" t="str">
        <f t="shared" si="1"/>
        <v/>
      </c>
      <c r="I63" s="59" t="str">
        <f t="array" ref="I63">IFERROR(INDEX(#REF!,MATCH(SMALL(IF(#REF!&lt;&gt;"",ROW(#REF!)-3),60),#REF!,0)),"")</f>
        <v/>
      </c>
    </row>
    <row r="64" ht="15.0" customHeight="1">
      <c r="A64" s="6" t="str">
        <f t="array" ref="A64">IFERROR(IF(I64="","",INDEX('📦 Registro'!$A$4:$A$103,MATCH(I64,'📦 Registro'!$A$4:$A$103,0))),"")</f>
        <v/>
      </c>
      <c r="B64" s="6" t="str">
        <f t="array" ref="B64">IFERROR(IF(I64="","",INDEX('📦 Registro'!$B$4:$B$103,MATCH(I64,'📦 Registro'!$A$4:$A$103,0))),"")</f>
        <v/>
      </c>
      <c r="C64" s="24" t="str">
        <f t="array" ref="C64">IFERROR(IF(I64="","",INDEX('📦 Registro'!$D$4:$D$103,MATCH(I64,'📦 Registro'!$A$4:$A$103,0))),"")</f>
        <v/>
      </c>
      <c r="D64" s="6" t="str">
        <f t="array" ref="D64">IFERROR(IF(I64="","",INDEX('📦 Registro'!$E$4:$E$103,MATCH(I64,'📦 Registro'!$A$4:$A$103,0))),"")</f>
        <v/>
      </c>
      <c r="E64" s="6" t="str">
        <f t="array" ref="E64">IFERROR(IF(I64="","",INDEX('📦 Registro'!$I$4:$I$103,MATCH(I64,'📦 Registro'!$A$4:$A$103,0))),"")</f>
        <v/>
      </c>
      <c r="F64" s="29" t="str">
        <f t="array" ref="F64">IFERROR(IF(I64="","",INDEX('📦 Registro'!$C$4:$C$103,MATCH(I64,'📦 Registro'!$A$4:$A$103,0))),"")</f>
        <v/>
      </c>
      <c r="G64" s="11" t="str">
        <f t="array" ref="G64">IFERROR(IF(I64="","",INDEX('📦 Registro'!$N$4:$N$103,MATCH(I64,'📦 Registro'!$A$4:$A$103,0))),"")</f>
        <v/>
      </c>
      <c r="H64" s="58" t="str">
        <f t="shared" si="1"/>
        <v/>
      </c>
      <c r="I64" s="59" t="str">
        <f t="array" ref="I64">IFERROR(INDEX(#REF!,MATCH(SMALL(IF(#REF!&lt;&gt;"",ROW(#REF!)-3),61),#REF!,0)),"")</f>
        <v/>
      </c>
    </row>
    <row r="65" ht="15.0" customHeight="1">
      <c r="A65" s="18" t="str">
        <f t="array" ref="A65">IFERROR(IF(I65="","",INDEX('📦 Registro'!$A$4:$A$103,MATCH(I65,'📦 Registro'!$A$4:$A$103,0))),"")</f>
        <v/>
      </c>
      <c r="B65" s="18" t="str">
        <f t="array" ref="B65">IFERROR(IF(I65="","",INDEX('📦 Registro'!$B$4:$B$103,MATCH(I65,'📦 Registro'!$A$4:$A$103,0))),"")</f>
        <v/>
      </c>
      <c r="C65" s="20" t="str">
        <f t="array" ref="C65">IFERROR(IF(I65="","",INDEX('📦 Registro'!$D$4:$D$103,MATCH(I65,'📦 Registro'!$A$4:$A$103,0))),"")</f>
        <v/>
      </c>
      <c r="D65" s="18" t="str">
        <f t="array" ref="D65">IFERROR(IF(I65="","",INDEX('📦 Registro'!$E$4:$E$103,MATCH(I65,'📦 Registro'!$A$4:$A$103,0))),"")</f>
        <v/>
      </c>
      <c r="E65" s="18" t="str">
        <f t="array" ref="E65">IFERROR(IF(I65="","",INDEX('📦 Registro'!$I$4:$I$103,MATCH(I65,'📦 Registro'!$A$4:$A$103,0))),"")</f>
        <v/>
      </c>
      <c r="F65" s="23" t="str">
        <f t="array" ref="F65">IFERROR(IF(I65="","",INDEX('📦 Registro'!$C$4:$C$103,MATCH(I65,'📦 Registro'!$A$4:$A$103,0))),"")</f>
        <v/>
      </c>
      <c r="G65" s="22" t="str">
        <f t="array" ref="G65">IFERROR(IF(I65="","",INDEX('📦 Registro'!$N$4:$N$103,MATCH(I65,'📦 Registro'!$A$4:$A$103,0))),"")</f>
        <v/>
      </c>
      <c r="H65" s="60" t="str">
        <f t="shared" si="1"/>
        <v/>
      </c>
      <c r="I65" s="59" t="str">
        <f t="array" ref="I65">IFERROR(INDEX(#REF!,MATCH(SMALL(IF(#REF!&lt;&gt;"",ROW(#REF!)-3),62),#REF!,0)),"")</f>
        <v/>
      </c>
    </row>
    <row r="66" ht="15.0" customHeight="1">
      <c r="A66" s="6" t="str">
        <f t="array" ref="A66">IFERROR(IF(I66="","",INDEX('📦 Registro'!$A$4:$A$103,MATCH(I66,'📦 Registro'!$A$4:$A$103,0))),"")</f>
        <v/>
      </c>
      <c r="B66" s="6" t="str">
        <f t="array" ref="B66">IFERROR(IF(I66="","",INDEX('📦 Registro'!$B$4:$B$103,MATCH(I66,'📦 Registro'!$A$4:$A$103,0))),"")</f>
        <v/>
      </c>
      <c r="C66" s="24" t="str">
        <f t="array" ref="C66">IFERROR(IF(I66="","",INDEX('📦 Registro'!$D$4:$D$103,MATCH(I66,'📦 Registro'!$A$4:$A$103,0))),"")</f>
        <v/>
      </c>
      <c r="D66" s="6" t="str">
        <f t="array" ref="D66">IFERROR(IF(I66="","",INDEX('📦 Registro'!$E$4:$E$103,MATCH(I66,'📦 Registro'!$A$4:$A$103,0))),"")</f>
        <v/>
      </c>
      <c r="E66" s="6" t="str">
        <f t="array" ref="E66">IFERROR(IF(I66="","",INDEX('📦 Registro'!$I$4:$I$103,MATCH(I66,'📦 Registro'!$A$4:$A$103,0))),"")</f>
        <v/>
      </c>
      <c r="F66" s="29" t="str">
        <f t="array" ref="F66">IFERROR(IF(I66="","",INDEX('📦 Registro'!$C$4:$C$103,MATCH(I66,'📦 Registro'!$A$4:$A$103,0))),"")</f>
        <v/>
      </c>
      <c r="G66" s="11" t="str">
        <f t="array" ref="G66">IFERROR(IF(I66="","",INDEX('📦 Registro'!$N$4:$N$103,MATCH(I66,'📦 Registro'!$A$4:$A$103,0))),"")</f>
        <v/>
      </c>
      <c r="H66" s="58" t="str">
        <f t="shared" si="1"/>
        <v/>
      </c>
      <c r="I66" s="59" t="str">
        <f t="array" ref="I66">IFERROR(INDEX(#REF!,MATCH(SMALL(IF(#REF!&lt;&gt;"",ROW(#REF!)-3),63),#REF!,0)),"")</f>
        <v/>
      </c>
    </row>
    <row r="67" ht="15.0" customHeight="1">
      <c r="A67" s="18" t="str">
        <f t="array" ref="A67">IFERROR(IF(I67="","",INDEX('📦 Registro'!$A$4:$A$103,MATCH(I67,'📦 Registro'!$A$4:$A$103,0))),"")</f>
        <v/>
      </c>
      <c r="B67" s="18" t="str">
        <f t="array" ref="B67">IFERROR(IF(I67="","",INDEX('📦 Registro'!$B$4:$B$103,MATCH(I67,'📦 Registro'!$A$4:$A$103,0))),"")</f>
        <v/>
      </c>
      <c r="C67" s="20" t="str">
        <f t="array" ref="C67">IFERROR(IF(I67="","",INDEX('📦 Registro'!$D$4:$D$103,MATCH(I67,'📦 Registro'!$A$4:$A$103,0))),"")</f>
        <v/>
      </c>
      <c r="D67" s="18" t="str">
        <f t="array" ref="D67">IFERROR(IF(I67="","",INDEX('📦 Registro'!$E$4:$E$103,MATCH(I67,'📦 Registro'!$A$4:$A$103,0))),"")</f>
        <v/>
      </c>
      <c r="E67" s="18" t="str">
        <f t="array" ref="E67">IFERROR(IF(I67="","",INDEX('📦 Registro'!$I$4:$I$103,MATCH(I67,'📦 Registro'!$A$4:$A$103,0))),"")</f>
        <v/>
      </c>
      <c r="F67" s="23" t="str">
        <f t="array" ref="F67">IFERROR(IF(I67="","",INDEX('📦 Registro'!$C$4:$C$103,MATCH(I67,'📦 Registro'!$A$4:$A$103,0))),"")</f>
        <v/>
      </c>
      <c r="G67" s="22" t="str">
        <f t="array" ref="G67">IFERROR(IF(I67="","",INDEX('📦 Registro'!$N$4:$N$103,MATCH(I67,'📦 Registro'!$A$4:$A$103,0))),"")</f>
        <v/>
      </c>
      <c r="H67" s="60" t="str">
        <f t="shared" si="1"/>
        <v/>
      </c>
      <c r="I67" s="59" t="str">
        <f t="array" ref="I67">IFERROR(INDEX(#REF!,MATCH(SMALL(IF(#REF!&lt;&gt;"",ROW(#REF!)-3),64),#REF!,0)),"")</f>
        <v/>
      </c>
    </row>
    <row r="68" ht="15.0" customHeight="1">
      <c r="A68" s="6" t="str">
        <f t="array" ref="A68">IFERROR(IF(I68="","",INDEX('📦 Registro'!$A$4:$A$103,MATCH(I68,'📦 Registro'!$A$4:$A$103,0))),"")</f>
        <v/>
      </c>
      <c r="B68" s="6" t="str">
        <f t="array" ref="B68">IFERROR(IF(I68="","",INDEX('📦 Registro'!$B$4:$B$103,MATCH(I68,'📦 Registro'!$A$4:$A$103,0))),"")</f>
        <v/>
      </c>
      <c r="C68" s="24" t="str">
        <f t="array" ref="C68">IFERROR(IF(I68="","",INDEX('📦 Registro'!$D$4:$D$103,MATCH(I68,'📦 Registro'!$A$4:$A$103,0))),"")</f>
        <v/>
      </c>
      <c r="D68" s="6" t="str">
        <f t="array" ref="D68">IFERROR(IF(I68="","",INDEX('📦 Registro'!$E$4:$E$103,MATCH(I68,'📦 Registro'!$A$4:$A$103,0))),"")</f>
        <v/>
      </c>
      <c r="E68" s="6" t="str">
        <f t="array" ref="E68">IFERROR(IF(I68="","",INDEX('📦 Registro'!$I$4:$I$103,MATCH(I68,'📦 Registro'!$A$4:$A$103,0))),"")</f>
        <v/>
      </c>
      <c r="F68" s="29" t="str">
        <f t="array" ref="F68">IFERROR(IF(I68="","",INDEX('📦 Registro'!$C$4:$C$103,MATCH(I68,'📦 Registro'!$A$4:$A$103,0))),"")</f>
        <v/>
      </c>
      <c r="G68" s="11" t="str">
        <f t="array" ref="G68">IFERROR(IF(I68="","",INDEX('📦 Registro'!$N$4:$N$103,MATCH(I68,'📦 Registro'!$A$4:$A$103,0))),"")</f>
        <v/>
      </c>
      <c r="H68" s="58" t="str">
        <f t="shared" si="1"/>
        <v/>
      </c>
      <c r="I68" s="59" t="str">
        <f t="array" ref="I68">IFERROR(INDEX(#REF!,MATCH(SMALL(IF(#REF!&lt;&gt;"",ROW(#REF!)-3),65),#REF!,0)),"")</f>
        <v/>
      </c>
    </row>
    <row r="69" ht="15.0" customHeight="1">
      <c r="A69" s="18" t="str">
        <f t="array" ref="A69">IFERROR(IF(I69="","",INDEX('📦 Registro'!$A$4:$A$103,MATCH(I69,'📦 Registro'!$A$4:$A$103,0))),"")</f>
        <v/>
      </c>
      <c r="B69" s="18" t="str">
        <f t="array" ref="B69">IFERROR(IF(I69="","",INDEX('📦 Registro'!$B$4:$B$103,MATCH(I69,'📦 Registro'!$A$4:$A$103,0))),"")</f>
        <v/>
      </c>
      <c r="C69" s="20" t="str">
        <f t="array" ref="C69">IFERROR(IF(I69="","",INDEX('📦 Registro'!$D$4:$D$103,MATCH(I69,'📦 Registro'!$A$4:$A$103,0))),"")</f>
        <v/>
      </c>
      <c r="D69" s="18" t="str">
        <f t="array" ref="D69">IFERROR(IF(I69="","",INDEX('📦 Registro'!$E$4:$E$103,MATCH(I69,'📦 Registro'!$A$4:$A$103,0))),"")</f>
        <v/>
      </c>
      <c r="E69" s="18" t="str">
        <f t="array" ref="E69">IFERROR(IF(I69="","",INDEX('📦 Registro'!$I$4:$I$103,MATCH(I69,'📦 Registro'!$A$4:$A$103,0))),"")</f>
        <v/>
      </c>
      <c r="F69" s="23" t="str">
        <f t="array" ref="F69">IFERROR(IF(I69="","",INDEX('📦 Registro'!$C$4:$C$103,MATCH(I69,'📦 Registro'!$A$4:$A$103,0))),"")</f>
        <v/>
      </c>
      <c r="G69" s="22" t="str">
        <f t="array" ref="G69">IFERROR(IF(I69="","",INDEX('📦 Registro'!$N$4:$N$103,MATCH(I69,'📦 Registro'!$A$4:$A$103,0))),"")</f>
        <v/>
      </c>
      <c r="H69" s="60" t="str">
        <f t="shared" si="1"/>
        <v/>
      </c>
      <c r="I69" s="59" t="str">
        <f t="array" ref="I69">IFERROR(INDEX(#REF!,MATCH(SMALL(IF(#REF!&lt;&gt;"",ROW(#REF!)-3),66),#REF!,0)),"")</f>
        <v/>
      </c>
    </row>
    <row r="70" ht="15.0" customHeight="1">
      <c r="A70" s="6" t="str">
        <f t="array" ref="A70">IFERROR(IF(I70="","",INDEX('📦 Registro'!$A$4:$A$103,MATCH(I70,'📦 Registro'!$A$4:$A$103,0))),"")</f>
        <v/>
      </c>
      <c r="B70" s="6" t="str">
        <f t="array" ref="B70">IFERROR(IF(I70="","",INDEX('📦 Registro'!$B$4:$B$103,MATCH(I70,'📦 Registro'!$A$4:$A$103,0))),"")</f>
        <v/>
      </c>
      <c r="C70" s="24" t="str">
        <f t="array" ref="C70">IFERROR(IF(I70="","",INDEX('📦 Registro'!$D$4:$D$103,MATCH(I70,'📦 Registro'!$A$4:$A$103,0))),"")</f>
        <v/>
      </c>
      <c r="D70" s="6" t="str">
        <f t="array" ref="D70">IFERROR(IF(I70="","",INDEX('📦 Registro'!$E$4:$E$103,MATCH(I70,'📦 Registro'!$A$4:$A$103,0))),"")</f>
        <v/>
      </c>
      <c r="E70" s="6" t="str">
        <f t="array" ref="E70">IFERROR(IF(I70="","",INDEX('📦 Registro'!$I$4:$I$103,MATCH(I70,'📦 Registro'!$A$4:$A$103,0))),"")</f>
        <v/>
      </c>
      <c r="F70" s="29" t="str">
        <f t="array" ref="F70">IFERROR(IF(I70="","",INDEX('📦 Registro'!$C$4:$C$103,MATCH(I70,'📦 Registro'!$A$4:$A$103,0))),"")</f>
        <v/>
      </c>
      <c r="G70" s="11" t="str">
        <f t="array" ref="G70">IFERROR(IF(I70="","",INDEX('📦 Registro'!$N$4:$N$103,MATCH(I70,'📦 Registro'!$A$4:$A$103,0))),"")</f>
        <v/>
      </c>
      <c r="H70" s="58" t="str">
        <f t="shared" si="1"/>
        <v/>
      </c>
      <c r="I70" s="59" t="str">
        <f t="array" ref="I70">IFERROR(INDEX(#REF!,MATCH(SMALL(IF(#REF!&lt;&gt;"",ROW(#REF!)-3),67),#REF!,0)),"")</f>
        <v/>
      </c>
    </row>
    <row r="71" ht="15.0" customHeight="1">
      <c r="A71" s="18" t="str">
        <f t="array" ref="A71">IFERROR(IF(I71="","",INDEX('📦 Registro'!$A$4:$A$103,MATCH(I71,'📦 Registro'!$A$4:$A$103,0))),"")</f>
        <v/>
      </c>
      <c r="B71" s="18" t="str">
        <f t="array" ref="B71">IFERROR(IF(I71="","",INDEX('📦 Registro'!$B$4:$B$103,MATCH(I71,'📦 Registro'!$A$4:$A$103,0))),"")</f>
        <v/>
      </c>
      <c r="C71" s="20" t="str">
        <f t="array" ref="C71">IFERROR(IF(I71="","",INDEX('📦 Registro'!$D$4:$D$103,MATCH(I71,'📦 Registro'!$A$4:$A$103,0))),"")</f>
        <v/>
      </c>
      <c r="D71" s="18" t="str">
        <f t="array" ref="D71">IFERROR(IF(I71="","",INDEX('📦 Registro'!$E$4:$E$103,MATCH(I71,'📦 Registro'!$A$4:$A$103,0))),"")</f>
        <v/>
      </c>
      <c r="E71" s="18" t="str">
        <f t="array" ref="E71">IFERROR(IF(I71="","",INDEX('📦 Registro'!$I$4:$I$103,MATCH(I71,'📦 Registro'!$A$4:$A$103,0))),"")</f>
        <v/>
      </c>
      <c r="F71" s="23" t="str">
        <f t="array" ref="F71">IFERROR(IF(I71="","",INDEX('📦 Registro'!$C$4:$C$103,MATCH(I71,'📦 Registro'!$A$4:$A$103,0))),"")</f>
        <v/>
      </c>
      <c r="G71" s="22" t="str">
        <f t="array" ref="G71">IFERROR(IF(I71="","",INDEX('📦 Registro'!$N$4:$N$103,MATCH(I71,'📦 Registro'!$A$4:$A$103,0))),"")</f>
        <v/>
      </c>
      <c r="H71" s="60" t="str">
        <f t="shared" si="1"/>
        <v/>
      </c>
      <c r="I71" s="59" t="str">
        <f t="array" ref="I71">IFERROR(INDEX(#REF!,MATCH(SMALL(IF(#REF!&lt;&gt;"",ROW(#REF!)-3),68),#REF!,0)),"")</f>
        <v/>
      </c>
    </row>
    <row r="72" ht="15.0" customHeight="1">
      <c r="A72" s="6" t="str">
        <f t="array" ref="A72">IFERROR(IF(I72="","",INDEX('📦 Registro'!$A$4:$A$103,MATCH(I72,'📦 Registro'!$A$4:$A$103,0))),"")</f>
        <v/>
      </c>
      <c r="B72" s="6" t="str">
        <f t="array" ref="B72">IFERROR(IF(I72="","",INDEX('📦 Registro'!$B$4:$B$103,MATCH(I72,'📦 Registro'!$A$4:$A$103,0))),"")</f>
        <v/>
      </c>
      <c r="C72" s="24" t="str">
        <f t="array" ref="C72">IFERROR(IF(I72="","",INDEX('📦 Registro'!$D$4:$D$103,MATCH(I72,'📦 Registro'!$A$4:$A$103,0))),"")</f>
        <v/>
      </c>
      <c r="D72" s="6" t="str">
        <f t="array" ref="D72">IFERROR(IF(I72="","",INDEX('📦 Registro'!$E$4:$E$103,MATCH(I72,'📦 Registro'!$A$4:$A$103,0))),"")</f>
        <v/>
      </c>
      <c r="E72" s="6" t="str">
        <f t="array" ref="E72">IFERROR(IF(I72="","",INDEX('📦 Registro'!$I$4:$I$103,MATCH(I72,'📦 Registro'!$A$4:$A$103,0))),"")</f>
        <v/>
      </c>
      <c r="F72" s="29" t="str">
        <f t="array" ref="F72">IFERROR(IF(I72="","",INDEX('📦 Registro'!$C$4:$C$103,MATCH(I72,'📦 Registro'!$A$4:$A$103,0))),"")</f>
        <v/>
      </c>
      <c r="G72" s="11" t="str">
        <f t="array" ref="G72">IFERROR(IF(I72="","",INDEX('📦 Registro'!$N$4:$N$103,MATCH(I72,'📦 Registro'!$A$4:$A$103,0))),"")</f>
        <v/>
      </c>
      <c r="H72" s="58" t="str">
        <f t="shared" si="1"/>
        <v/>
      </c>
      <c r="I72" s="59" t="str">
        <f t="array" ref="I72">IFERROR(INDEX(#REF!,MATCH(SMALL(IF(#REF!&lt;&gt;"",ROW(#REF!)-3),69),#REF!,0)),"")</f>
        <v/>
      </c>
    </row>
    <row r="73" ht="15.0" customHeight="1">
      <c r="A73" s="18" t="str">
        <f t="array" ref="A73">IFERROR(IF(I73="","",INDEX('📦 Registro'!$A$4:$A$103,MATCH(I73,'📦 Registro'!$A$4:$A$103,0))),"")</f>
        <v/>
      </c>
      <c r="B73" s="18" t="str">
        <f t="array" ref="B73">IFERROR(IF(I73="","",INDEX('📦 Registro'!$B$4:$B$103,MATCH(I73,'📦 Registro'!$A$4:$A$103,0))),"")</f>
        <v/>
      </c>
      <c r="C73" s="20" t="str">
        <f t="array" ref="C73">IFERROR(IF(I73="","",INDEX('📦 Registro'!$D$4:$D$103,MATCH(I73,'📦 Registro'!$A$4:$A$103,0))),"")</f>
        <v/>
      </c>
      <c r="D73" s="18" t="str">
        <f t="array" ref="D73">IFERROR(IF(I73="","",INDEX('📦 Registro'!$E$4:$E$103,MATCH(I73,'📦 Registro'!$A$4:$A$103,0))),"")</f>
        <v/>
      </c>
      <c r="E73" s="18" t="str">
        <f t="array" ref="E73">IFERROR(IF(I73="","",INDEX('📦 Registro'!$I$4:$I$103,MATCH(I73,'📦 Registro'!$A$4:$A$103,0))),"")</f>
        <v/>
      </c>
      <c r="F73" s="23" t="str">
        <f t="array" ref="F73">IFERROR(IF(I73="","",INDEX('📦 Registro'!$C$4:$C$103,MATCH(I73,'📦 Registro'!$A$4:$A$103,0))),"")</f>
        <v/>
      </c>
      <c r="G73" s="22" t="str">
        <f t="array" ref="G73">IFERROR(IF(I73="","",INDEX('📦 Registro'!$N$4:$N$103,MATCH(I73,'📦 Registro'!$A$4:$A$103,0))),"")</f>
        <v/>
      </c>
      <c r="H73" s="60" t="str">
        <f t="shared" si="1"/>
        <v/>
      </c>
      <c r="I73" s="59" t="str">
        <f t="array" ref="I73">IFERROR(INDEX(#REF!,MATCH(SMALL(IF(#REF!&lt;&gt;"",ROW(#REF!)-3),70),#REF!,0)),"")</f>
        <v/>
      </c>
    </row>
    <row r="74" ht="15.0" customHeight="1">
      <c r="A74" s="6" t="str">
        <f t="array" ref="A74">IFERROR(IF(I74="","",INDEX('📦 Registro'!$A$4:$A$103,MATCH(I74,'📦 Registro'!$A$4:$A$103,0))),"")</f>
        <v/>
      </c>
      <c r="B74" s="6" t="str">
        <f t="array" ref="B74">IFERROR(IF(I74="","",INDEX('📦 Registro'!$B$4:$B$103,MATCH(I74,'📦 Registro'!$A$4:$A$103,0))),"")</f>
        <v/>
      </c>
      <c r="C74" s="24" t="str">
        <f t="array" ref="C74">IFERROR(IF(I74="","",INDEX('📦 Registro'!$D$4:$D$103,MATCH(I74,'📦 Registro'!$A$4:$A$103,0))),"")</f>
        <v/>
      </c>
      <c r="D74" s="6" t="str">
        <f t="array" ref="D74">IFERROR(IF(I74="","",INDEX('📦 Registro'!$E$4:$E$103,MATCH(I74,'📦 Registro'!$A$4:$A$103,0))),"")</f>
        <v/>
      </c>
      <c r="E74" s="6" t="str">
        <f t="array" ref="E74">IFERROR(IF(I74="","",INDEX('📦 Registro'!$I$4:$I$103,MATCH(I74,'📦 Registro'!$A$4:$A$103,0))),"")</f>
        <v/>
      </c>
      <c r="F74" s="29" t="str">
        <f t="array" ref="F74">IFERROR(IF(I74="","",INDEX('📦 Registro'!$C$4:$C$103,MATCH(I74,'📦 Registro'!$A$4:$A$103,0))),"")</f>
        <v/>
      </c>
      <c r="G74" s="11" t="str">
        <f t="array" ref="G74">IFERROR(IF(I74="","",INDEX('📦 Registro'!$N$4:$N$103,MATCH(I74,'📦 Registro'!$A$4:$A$103,0))),"")</f>
        <v/>
      </c>
      <c r="H74" s="58" t="str">
        <f t="shared" si="1"/>
        <v/>
      </c>
      <c r="I74" s="59" t="str">
        <f t="array" ref="I74">IFERROR(INDEX(#REF!,MATCH(SMALL(IF(#REF!&lt;&gt;"",ROW(#REF!)-3),71),#REF!,0)),"")</f>
        <v/>
      </c>
    </row>
    <row r="75" ht="15.0" customHeight="1">
      <c r="A75" s="18" t="str">
        <f t="array" ref="A75">IFERROR(IF(I75="","",INDEX('📦 Registro'!$A$4:$A$103,MATCH(I75,'📦 Registro'!$A$4:$A$103,0))),"")</f>
        <v/>
      </c>
      <c r="B75" s="18" t="str">
        <f t="array" ref="B75">IFERROR(IF(I75="","",INDEX('📦 Registro'!$B$4:$B$103,MATCH(I75,'📦 Registro'!$A$4:$A$103,0))),"")</f>
        <v/>
      </c>
      <c r="C75" s="20" t="str">
        <f t="array" ref="C75">IFERROR(IF(I75="","",INDEX('📦 Registro'!$D$4:$D$103,MATCH(I75,'📦 Registro'!$A$4:$A$103,0))),"")</f>
        <v/>
      </c>
      <c r="D75" s="18" t="str">
        <f t="array" ref="D75">IFERROR(IF(I75="","",INDEX('📦 Registro'!$E$4:$E$103,MATCH(I75,'📦 Registro'!$A$4:$A$103,0))),"")</f>
        <v/>
      </c>
      <c r="E75" s="18" t="str">
        <f t="array" ref="E75">IFERROR(IF(I75="","",INDEX('📦 Registro'!$I$4:$I$103,MATCH(I75,'📦 Registro'!$A$4:$A$103,0))),"")</f>
        <v/>
      </c>
      <c r="F75" s="23" t="str">
        <f t="array" ref="F75">IFERROR(IF(I75="","",INDEX('📦 Registro'!$C$4:$C$103,MATCH(I75,'📦 Registro'!$A$4:$A$103,0))),"")</f>
        <v/>
      </c>
      <c r="G75" s="22" t="str">
        <f t="array" ref="G75">IFERROR(IF(I75="","",INDEX('📦 Registro'!$N$4:$N$103,MATCH(I75,'📦 Registro'!$A$4:$A$103,0))),"")</f>
        <v/>
      </c>
      <c r="H75" s="60" t="str">
        <f t="shared" si="1"/>
        <v/>
      </c>
      <c r="I75" s="59" t="str">
        <f t="array" ref="I75">IFERROR(INDEX(#REF!,MATCH(SMALL(IF(#REF!&lt;&gt;"",ROW(#REF!)-3),72),#REF!,0)),"")</f>
        <v/>
      </c>
    </row>
    <row r="76" ht="15.0" customHeight="1">
      <c r="A76" s="6" t="str">
        <f t="array" ref="A76">IFERROR(IF(I76="","",INDEX('📦 Registro'!$A$4:$A$103,MATCH(I76,'📦 Registro'!$A$4:$A$103,0))),"")</f>
        <v/>
      </c>
      <c r="B76" s="6" t="str">
        <f t="array" ref="B76">IFERROR(IF(I76="","",INDEX('📦 Registro'!$B$4:$B$103,MATCH(I76,'📦 Registro'!$A$4:$A$103,0))),"")</f>
        <v/>
      </c>
      <c r="C76" s="24" t="str">
        <f t="array" ref="C76">IFERROR(IF(I76="","",INDEX('📦 Registro'!$D$4:$D$103,MATCH(I76,'📦 Registro'!$A$4:$A$103,0))),"")</f>
        <v/>
      </c>
      <c r="D76" s="6" t="str">
        <f t="array" ref="D76">IFERROR(IF(I76="","",INDEX('📦 Registro'!$E$4:$E$103,MATCH(I76,'📦 Registro'!$A$4:$A$103,0))),"")</f>
        <v/>
      </c>
      <c r="E76" s="6" t="str">
        <f t="array" ref="E76">IFERROR(IF(I76="","",INDEX('📦 Registro'!$I$4:$I$103,MATCH(I76,'📦 Registro'!$A$4:$A$103,0))),"")</f>
        <v/>
      </c>
      <c r="F76" s="29" t="str">
        <f t="array" ref="F76">IFERROR(IF(I76="","",INDEX('📦 Registro'!$C$4:$C$103,MATCH(I76,'📦 Registro'!$A$4:$A$103,0))),"")</f>
        <v/>
      </c>
      <c r="G76" s="11" t="str">
        <f t="array" ref="G76">IFERROR(IF(I76="","",INDEX('📦 Registro'!$N$4:$N$103,MATCH(I76,'📦 Registro'!$A$4:$A$103,0))),"")</f>
        <v/>
      </c>
      <c r="H76" s="58" t="str">
        <f t="shared" si="1"/>
        <v/>
      </c>
      <c r="I76" s="59" t="str">
        <f t="array" ref="I76">IFERROR(INDEX(#REF!,MATCH(SMALL(IF(#REF!&lt;&gt;"",ROW(#REF!)-3),73),#REF!,0)),"")</f>
        <v/>
      </c>
    </row>
    <row r="77" ht="15.0" customHeight="1">
      <c r="A77" s="18" t="str">
        <f t="array" ref="A77">IFERROR(IF(I77="","",INDEX('📦 Registro'!$A$4:$A$103,MATCH(I77,'📦 Registro'!$A$4:$A$103,0))),"")</f>
        <v/>
      </c>
      <c r="B77" s="18" t="str">
        <f t="array" ref="B77">IFERROR(IF(I77="","",INDEX('📦 Registro'!$B$4:$B$103,MATCH(I77,'📦 Registro'!$A$4:$A$103,0))),"")</f>
        <v/>
      </c>
      <c r="C77" s="20" t="str">
        <f t="array" ref="C77">IFERROR(IF(I77="","",INDEX('📦 Registro'!$D$4:$D$103,MATCH(I77,'📦 Registro'!$A$4:$A$103,0))),"")</f>
        <v/>
      </c>
      <c r="D77" s="18" t="str">
        <f t="array" ref="D77">IFERROR(IF(I77="","",INDEX('📦 Registro'!$E$4:$E$103,MATCH(I77,'📦 Registro'!$A$4:$A$103,0))),"")</f>
        <v/>
      </c>
      <c r="E77" s="18" t="str">
        <f t="array" ref="E77">IFERROR(IF(I77="","",INDEX('📦 Registro'!$I$4:$I$103,MATCH(I77,'📦 Registro'!$A$4:$A$103,0))),"")</f>
        <v/>
      </c>
      <c r="F77" s="23" t="str">
        <f t="array" ref="F77">IFERROR(IF(I77="","",INDEX('📦 Registro'!$C$4:$C$103,MATCH(I77,'📦 Registro'!$A$4:$A$103,0))),"")</f>
        <v/>
      </c>
      <c r="G77" s="22" t="str">
        <f t="array" ref="G77">IFERROR(IF(I77="","",INDEX('📦 Registro'!$N$4:$N$103,MATCH(I77,'📦 Registro'!$A$4:$A$103,0))),"")</f>
        <v/>
      </c>
      <c r="H77" s="60" t="str">
        <f t="shared" si="1"/>
        <v/>
      </c>
      <c r="I77" s="59" t="str">
        <f t="array" ref="I77">IFERROR(INDEX(#REF!,MATCH(SMALL(IF(#REF!&lt;&gt;"",ROW(#REF!)-3),74),#REF!,0)),"")</f>
        <v/>
      </c>
    </row>
    <row r="78" ht="15.0" customHeight="1">
      <c r="A78" s="6" t="str">
        <f t="array" ref="A78">IFERROR(IF(I78="","",INDEX('📦 Registro'!$A$4:$A$103,MATCH(I78,'📦 Registro'!$A$4:$A$103,0))),"")</f>
        <v/>
      </c>
      <c r="B78" s="6" t="str">
        <f t="array" ref="B78">IFERROR(IF(I78="","",INDEX('📦 Registro'!$B$4:$B$103,MATCH(I78,'📦 Registro'!$A$4:$A$103,0))),"")</f>
        <v/>
      </c>
      <c r="C78" s="24" t="str">
        <f t="array" ref="C78">IFERROR(IF(I78="","",INDEX('📦 Registro'!$D$4:$D$103,MATCH(I78,'📦 Registro'!$A$4:$A$103,0))),"")</f>
        <v/>
      </c>
      <c r="D78" s="6" t="str">
        <f t="array" ref="D78">IFERROR(IF(I78="","",INDEX('📦 Registro'!$E$4:$E$103,MATCH(I78,'📦 Registro'!$A$4:$A$103,0))),"")</f>
        <v/>
      </c>
      <c r="E78" s="6" t="str">
        <f t="array" ref="E78">IFERROR(IF(I78="","",INDEX('📦 Registro'!$I$4:$I$103,MATCH(I78,'📦 Registro'!$A$4:$A$103,0))),"")</f>
        <v/>
      </c>
      <c r="F78" s="29" t="str">
        <f t="array" ref="F78">IFERROR(IF(I78="","",INDEX('📦 Registro'!$C$4:$C$103,MATCH(I78,'📦 Registro'!$A$4:$A$103,0))),"")</f>
        <v/>
      </c>
      <c r="G78" s="11" t="str">
        <f t="array" ref="G78">IFERROR(IF(I78="","",INDEX('📦 Registro'!$N$4:$N$103,MATCH(I78,'📦 Registro'!$A$4:$A$103,0))),"")</f>
        <v/>
      </c>
      <c r="H78" s="58" t="str">
        <f t="shared" si="1"/>
        <v/>
      </c>
      <c r="I78" s="59" t="str">
        <f t="array" ref="I78">IFERROR(INDEX(#REF!,MATCH(SMALL(IF(#REF!&lt;&gt;"",ROW(#REF!)-3),75),#REF!,0)),"")</f>
        <v/>
      </c>
    </row>
    <row r="79" ht="15.0" customHeight="1">
      <c r="A79" s="18" t="str">
        <f t="array" ref="A79">IFERROR(IF(I79="","",INDEX('📦 Registro'!$A$4:$A$103,MATCH(I79,'📦 Registro'!$A$4:$A$103,0))),"")</f>
        <v/>
      </c>
      <c r="B79" s="18" t="str">
        <f t="array" ref="B79">IFERROR(IF(I79="","",INDEX('📦 Registro'!$B$4:$B$103,MATCH(I79,'📦 Registro'!$A$4:$A$103,0))),"")</f>
        <v/>
      </c>
      <c r="C79" s="20" t="str">
        <f t="array" ref="C79">IFERROR(IF(I79="","",INDEX('📦 Registro'!$D$4:$D$103,MATCH(I79,'📦 Registro'!$A$4:$A$103,0))),"")</f>
        <v/>
      </c>
      <c r="D79" s="18" t="str">
        <f t="array" ref="D79">IFERROR(IF(I79="","",INDEX('📦 Registro'!$E$4:$E$103,MATCH(I79,'📦 Registro'!$A$4:$A$103,0))),"")</f>
        <v/>
      </c>
      <c r="E79" s="18" t="str">
        <f t="array" ref="E79">IFERROR(IF(I79="","",INDEX('📦 Registro'!$I$4:$I$103,MATCH(I79,'📦 Registro'!$A$4:$A$103,0))),"")</f>
        <v/>
      </c>
      <c r="F79" s="23" t="str">
        <f t="array" ref="F79">IFERROR(IF(I79="","",INDEX('📦 Registro'!$C$4:$C$103,MATCH(I79,'📦 Registro'!$A$4:$A$103,0))),"")</f>
        <v/>
      </c>
      <c r="G79" s="22" t="str">
        <f t="array" ref="G79">IFERROR(IF(I79="","",INDEX('📦 Registro'!$N$4:$N$103,MATCH(I79,'📦 Registro'!$A$4:$A$103,0))),"")</f>
        <v/>
      </c>
      <c r="H79" s="60" t="str">
        <f t="shared" si="1"/>
        <v/>
      </c>
      <c r="I79" s="59" t="str">
        <f t="array" ref="I79">IFERROR(INDEX(#REF!,MATCH(SMALL(IF(#REF!&lt;&gt;"",ROW(#REF!)-3),76),#REF!,0)),"")</f>
        <v/>
      </c>
    </row>
    <row r="80" ht="15.0" customHeight="1">
      <c r="A80" s="6" t="str">
        <f t="array" ref="A80">IFERROR(IF(I80="","",INDEX('📦 Registro'!$A$4:$A$103,MATCH(I80,'📦 Registro'!$A$4:$A$103,0))),"")</f>
        <v/>
      </c>
      <c r="B80" s="6" t="str">
        <f t="array" ref="B80">IFERROR(IF(I80="","",INDEX('📦 Registro'!$B$4:$B$103,MATCH(I80,'📦 Registro'!$A$4:$A$103,0))),"")</f>
        <v/>
      </c>
      <c r="C80" s="24" t="str">
        <f t="array" ref="C80">IFERROR(IF(I80="","",INDEX('📦 Registro'!$D$4:$D$103,MATCH(I80,'📦 Registro'!$A$4:$A$103,0))),"")</f>
        <v/>
      </c>
      <c r="D80" s="6" t="str">
        <f t="array" ref="D80">IFERROR(IF(I80="","",INDEX('📦 Registro'!$E$4:$E$103,MATCH(I80,'📦 Registro'!$A$4:$A$103,0))),"")</f>
        <v/>
      </c>
      <c r="E80" s="6" t="str">
        <f t="array" ref="E80">IFERROR(IF(I80="","",INDEX('📦 Registro'!$I$4:$I$103,MATCH(I80,'📦 Registro'!$A$4:$A$103,0))),"")</f>
        <v/>
      </c>
      <c r="F80" s="29" t="str">
        <f t="array" ref="F80">IFERROR(IF(I80="","",INDEX('📦 Registro'!$C$4:$C$103,MATCH(I80,'📦 Registro'!$A$4:$A$103,0))),"")</f>
        <v/>
      </c>
      <c r="G80" s="11" t="str">
        <f t="array" ref="G80">IFERROR(IF(I80="","",INDEX('📦 Registro'!$N$4:$N$103,MATCH(I80,'📦 Registro'!$A$4:$A$103,0))),"")</f>
        <v/>
      </c>
      <c r="H80" s="58" t="str">
        <f t="shared" si="1"/>
        <v/>
      </c>
      <c r="I80" s="59" t="str">
        <f t="array" ref="I80">IFERROR(INDEX(#REF!,MATCH(SMALL(IF(#REF!&lt;&gt;"",ROW(#REF!)-3),77),#REF!,0)),"")</f>
        <v/>
      </c>
    </row>
    <row r="81" ht="15.0" customHeight="1">
      <c r="A81" s="18" t="str">
        <f t="array" ref="A81">IFERROR(IF(I81="","",INDEX('📦 Registro'!$A$4:$A$103,MATCH(I81,'📦 Registro'!$A$4:$A$103,0))),"")</f>
        <v/>
      </c>
      <c r="B81" s="18" t="str">
        <f t="array" ref="B81">IFERROR(IF(I81="","",INDEX('📦 Registro'!$B$4:$B$103,MATCH(I81,'📦 Registro'!$A$4:$A$103,0))),"")</f>
        <v/>
      </c>
      <c r="C81" s="20" t="str">
        <f t="array" ref="C81">IFERROR(IF(I81="","",INDEX('📦 Registro'!$D$4:$D$103,MATCH(I81,'📦 Registro'!$A$4:$A$103,0))),"")</f>
        <v/>
      </c>
      <c r="D81" s="18" t="str">
        <f t="array" ref="D81">IFERROR(IF(I81="","",INDEX('📦 Registro'!$E$4:$E$103,MATCH(I81,'📦 Registro'!$A$4:$A$103,0))),"")</f>
        <v/>
      </c>
      <c r="E81" s="18" t="str">
        <f t="array" ref="E81">IFERROR(IF(I81="","",INDEX('📦 Registro'!$I$4:$I$103,MATCH(I81,'📦 Registro'!$A$4:$A$103,0))),"")</f>
        <v/>
      </c>
      <c r="F81" s="23" t="str">
        <f t="array" ref="F81">IFERROR(IF(I81="","",INDEX('📦 Registro'!$C$4:$C$103,MATCH(I81,'📦 Registro'!$A$4:$A$103,0))),"")</f>
        <v/>
      </c>
      <c r="G81" s="22" t="str">
        <f t="array" ref="G81">IFERROR(IF(I81="","",INDEX('📦 Registro'!$N$4:$N$103,MATCH(I81,'📦 Registro'!$A$4:$A$103,0))),"")</f>
        <v/>
      </c>
      <c r="H81" s="60" t="str">
        <f t="shared" si="1"/>
        <v/>
      </c>
      <c r="I81" s="59" t="str">
        <f t="array" ref="I81">IFERROR(INDEX(#REF!,MATCH(SMALL(IF(#REF!&lt;&gt;"",ROW(#REF!)-3),78),#REF!,0)),"")</f>
        <v/>
      </c>
    </row>
    <row r="82" ht="15.0" customHeight="1">
      <c r="A82" s="6" t="str">
        <f t="array" ref="A82">IFERROR(IF(I82="","",INDEX('📦 Registro'!$A$4:$A$103,MATCH(I82,'📦 Registro'!$A$4:$A$103,0))),"")</f>
        <v/>
      </c>
      <c r="B82" s="6" t="str">
        <f t="array" ref="B82">IFERROR(IF(I82="","",INDEX('📦 Registro'!$B$4:$B$103,MATCH(I82,'📦 Registro'!$A$4:$A$103,0))),"")</f>
        <v/>
      </c>
      <c r="C82" s="24" t="str">
        <f t="array" ref="C82">IFERROR(IF(I82="","",INDEX('📦 Registro'!$D$4:$D$103,MATCH(I82,'📦 Registro'!$A$4:$A$103,0))),"")</f>
        <v/>
      </c>
      <c r="D82" s="6" t="str">
        <f t="array" ref="D82">IFERROR(IF(I82="","",INDEX('📦 Registro'!$E$4:$E$103,MATCH(I82,'📦 Registro'!$A$4:$A$103,0))),"")</f>
        <v/>
      </c>
      <c r="E82" s="6" t="str">
        <f t="array" ref="E82">IFERROR(IF(I82="","",INDEX('📦 Registro'!$I$4:$I$103,MATCH(I82,'📦 Registro'!$A$4:$A$103,0))),"")</f>
        <v/>
      </c>
      <c r="F82" s="29" t="str">
        <f t="array" ref="F82">IFERROR(IF(I82="","",INDEX('📦 Registro'!$C$4:$C$103,MATCH(I82,'📦 Registro'!$A$4:$A$103,0))),"")</f>
        <v/>
      </c>
      <c r="G82" s="11" t="str">
        <f t="array" ref="G82">IFERROR(IF(I82="","",INDEX('📦 Registro'!$N$4:$N$103,MATCH(I82,'📦 Registro'!$A$4:$A$103,0))),"")</f>
        <v/>
      </c>
      <c r="H82" s="58" t="str">
        <f t="shared" si="1"/>
        <v/>
      </c>
      <c r="I82" s="59" t="str">
        <f t="array" ref="I82">IFERROR(INDEX(#REF!,MATCH(SMALL(IF(#REF!&lt;&gt;"",ROW(#REF!)-3),79),#REF!,0)),"")</f>
        <v/>
      </c>
    </row>
    <row r="83" ht="15.0" customHeight="1">
      <c r="A83" s="18" t="str">
        <f t="array" ref="A83">IFERROR(IF(I83="","",INDEX('📦 Registro'!$A$4:$A$103,MATCH(I83,'📦 Registro'!$A$4:$A$103,0))),"")</f>
        <v/>
      </c>
      <c r="B83" s="18" t="str">
        <f t="array" ref="B83">IFERROR(IF(I83="","",INDEX('📦 Registro'!$B$4:$B$103,MATCH(I83,'📦 Registro'!$A$4:$A$103,0))),"")</f>
        <v/>
      </c>
      <c r="C83" s="20" t="str">
        <f t="array" ref="C83">IFERROR(IF(I83="","",INDEX('📦 Registro'!$D$4:$D$103,MATCH(I83,'📦 Registro'!$A$4:$A$103,0))),"")</f>
        <v/>
      </c>
      <c r="D83" s="18" t="str">
        <f t="array" ref="D83">IFERROR(IF(I83="","",INDEX('📦 Registro'!$E$4:$E$103,MATCH(I83,'📦 Registro'!$A$4:$A$103,0))),"")</f>
        <v/>
      </c>
      <c r="E83" s="18" t="str">
        <f t="array" ref="E83">IFERROR(IF(I83="","",INDEX('📦 Registro'!$I$4:$I$103,MATCH(I83,'📦 Registro'!$A$4:$A$103,0))),"")</f>
        <v/>
      </c>
      <c r="F83" s="23" t="str">
        <f t="array" ref="F83">IFERROR(IF(I83="","",INDEX('📦 Registro'!$C$4:$C$103,MATCH(I83,'📦 Registro'!$A$4:$A$103,0))),"")</f>
        <v/>
      </c>
      <c r="G83" s="22" t="str">
        <f t="array" ref="G83">IFERROR(IF(I83="","",INDEX('📦 Registro'!$N$4:$N$103,MATCH(I83,'📦 Registro'!$A$4:$A$103,0))),"")</f>
        <v/>
      </c>
      <c r="H83" s="60" t="str">
        <f t="shared" si="1"/>
        <v/>
      </c>
      <c r="I83" s="59" t="str">
        <f t="array" ref="I83">IFERROR(INDEX(#REF!,MATCH(SMALL(IF(#REF!&lt;&gt;"",ROW(#REF!)-3),80),#REF!,0)),"")</f>
        <v/>
      </c>
    </row>
    <row r="84" ht="15.0" customHeight="1">
      <c r="A84" s="6" t="str">
        <f t="array" ref="A84">IFERROR(IF(I84="","",INDEX('📦 Registro'!$A$4:$A$103,MATCH(I84,'📦 Registro'!$A$4:$A$103,0))),"")</f>
        <v/>
      </c>
      <c r="B84" s="6" t="str">
        <f t="array" ref="B84">IFERROR(IF(I84="","",INDEX('📦 Registro'!$B$4:$B$103,MATCH(I84,'📦 Registro'!$A$4:$A$103,0))),"")</f>
        <v/>
      </c>
      <c r="C84" s="24" t="str">
        <f t="array" ref="C84">IFERROR(IF(I84="","",INDEX('📦 Registro'!$D$4:$D$103,MATCH(I84,'📦 Registro'!$A$4:$A$103,0))),"")</f>
        <v/>
      </c>
      <c r="D84" s="6" t="str">
        <f t="array" ref="D84">IFERROR(IF(I84="","",INDEX('📦 Registro'!$E$4:$E$103,MATCH(I84,'📦 Registro'!$A$4:$A$103,0))),"")</f>
        <v/>
      </c>
      <c r="E84" s="6" t="str">
        <f t="array" ref="E84">IFERROR(IF(I84="","",INDEX('📦 Registro'!$I$4:$I$103,MATCH(I84,'📦 Registro'!$A$4:$A$103,0))),"")</f>
        <v/>
      </c>
      <c r="F84" s="29" t="str">
        <f t="array" ref="F84">IFERROR(IF(I84="","",INDEX('📦 Registro'!$C$4:$C$103,MATCH(I84,'📦 Registro'!$A$4:$A$103,0))),"")</f>
        <v/>
      </c>
      <c r="G84" s="11" t="str">
        <f t="array" ref="G84">IFERROR(IF(I84="","",INDEX('📦 Registro'!$N$4:$N$103,MATCH(I84,'📦 Registro'!$A$4:$A$103,0))),"")</f>
        <v/>
      </c>
      <c r="H84" s="58" t="str">
        <f t="shared" si="1"/>
        <v/>
      </c>
      <c r="I84" s="59" t="str">
        <f t="array" ref="I84">IFERROR(INDEX(#REF!,MATCH(SMALL(IF(#REF!&lt;&gt;"",ROW(#REF!)-3),81),#REF!,0)),"")</f>
        <v/>
      </c>
    </row>
    <row r="85" ht="15.0" customHeight="1">
      <c r="A85" s="18" t="str">
        <f t="array" ref="A85">IFERROR(IF(I85="","",INDEX('📦 Registro'!$A$4:$A$103,MATCH(I85,'📦 Registro'!$A$4:$A$103,0))),"")</f>
        <v/>
      </c>
      <c r="B85" s="18" t="str">
        <f t="array" ref="B85">IFERROR(IF(I85="","",INDEX('📦 Registro'!$B$4:$B$103,MATCH(I85,'📦 Registro'!$A$4:$A$103,0))),"")</f>
        <v/>
      </c>
      <c r="C85" s="20" t="str">
        <f t="array" ref="C85">IFERROR(IF(I85="","",INDEX('📦 Registro'!$D$4:$D$103,MATCH(I85,'📦 Registro'!$A$4:$A$103,0))),"")</f>
        <v/>
      </c>
      <c r="D85" s="18" t="str">
        <f t="array" ref="D85">IFERROR(IF(I85="","",INDEX('📦 Registro'!$E$4:$E$103,MATCH(I85,'📦 Registro'!$A$4:$A$103,0))),"")</f>
        <v/>
      </c>
      <c r="E85" s="18" t="str">
        <f t="array" ref="E85">IFERROR(IF(I85="","",INDEX('📦 Registro'!$I$4:$I$103,MATCH(I85,'📦 Registro'!$A$4:$A$103,0))),"")</f>
        <v/>
      </c>
      <c r="F85" s="23" t="str">
        <f t="array" ref="F85">IFERROR(IF(I85="","",INDEX('📦 Registro'!$C$4:$C$103,MATCH(I85,'📦 Registro'!$A$4:$A$103,0))),"")</f>
        <v/>
      </c>
      <c r="G85" s="22" t="str">
        <f t="array" ref="G85">IFERROR(IF(I85="","",INDEX('📦 Registro'!$N$4:$N$103,MATCH(I85,'📦 Registro'!$A$4:$A$103,0))),"")</f>
        <v/>
      </c>
      <c r="H85" s="60" t="str">
        <f t="shared" si="1"/>
        <v/>
      </c>
      <c r="I85" s="59" t="str">
        <f t="array" ref="I85">IFERROR(INDEX(#REF!,MATCH(SMALL(IF(#REF!&lt;&gt;"",ROW(#REF!)-3),82),#REF!,0)),"")</f>
        <v/>
      </c>
    </row>
    <row r="86" ht="15.0" customHeight="1">
      <c r="A86" s="6" t="str">
        <f t="array" ref="A86">IFERROR(IF(I86="","",INDEX('📦 Registro'!$A$4:$A$103,MATCH(I86,'📦 Registro'!$A$4:$A$103,0))),"")</f>
        <v/>
      </c>
      <c r="B86" s="6" t="str">
        <f t="array" ref="B86">IFERROR(IF(I86="","",INDEX('📦 Registro'!$B$4:$B$103,MATCH(I86,'📦 Registro'!$A$4:$A$103,0))),"")</f>
        <v/>
      </c>
      <c r="C86" s="24" t="str">
        <f t="array" ref="C86">IFERROR(IF(I86="","",INDEX('📦 Registro'!$D$4:$D$103,MATCH(I86,'📦 Registro'!$A$4:$A$103,0))),"")</f>
        <v/>
      </c>
      <c r="D86" s="6" t="str">
        <f t="array" ref="D86">IFERROR(IF(I86="","",INDEX('📦 Registro'!$E$4:$E$103,MATCH(I86,'📦 Registro'!$A$4:$A$103,0))),"")</f>
        <v/>
      </c>
      <c r="E86" s="6" t="str">
        <f t="array" ref="E86">IFERROR(IF(I86="","",INDEX('📦 Registro'!$I$4:$I$103,MATCH(I86,'📦 Registro'!$A$4:$A$103,0))),"")</f>
        <v/>
      </c>
      <c r="F86" s="29" t="str">
        <f t="array" ref="F86">IFERROR(IF(I86="","",INDEX('📦 Registro'!$C$4:$C$103,MATCH(I86,'📦 Registro'!$A$4:$A$103,0))),"")</f>
        <v/>
      </c>
      <c r="G86" s="11" t="str">
        <f t="array" ref="G86">IFERROR(IF(I86="","",INDEX('📦 Registro'!$N$4:$N$103,MATCH(I86,'📦 Registro'!$A$4:$A$103,0))),"")</f>
        <v/>
      </c>
      <c r="H86" s="58" t="str">
        <f t="shared" si="1"/>
        <v/>
      </c>
      <c r="I86" s="59" t="str">
        <f t="array" ref="I86">IFERROR(INDEX(#REF!,MATCH(SMALL(IF(#REF!&lt;&gt;"",ROW(#REF!)-3),83),#REF!,0)),"")</f>
        <v/>
      </c>
    </row>
    <row r="87" ht="15.0" customHeight="1">
      <c r="A87" s="18" t="str">
        <f t="array" ref="A87">IFERROR(IF(I87="","",INDEX('📦 Registro'!$A$4:$A$103,MATCH(I87,'📦 Registro'!$A$4:$A$103,0))),"")</f>
        <v/>
      </c>
      <c r="B87" s="18" t="str">
        <f t="array" ref="B87">IFERROR(IF(I87="","",INDEX('📦 Registro'!$B$4:$B$103,MATCH(I87,'📦 Registro'!$A$4:$A$103,0))),"")</f>
        <v/>
      </c>
      <c r="C87" s="20" t="str">
        <f t="array" ref="C87">IFERROR(IF(I87="","",INDEX('📦 Registro'!$D$4:$D$103,MATCH(I87,'📦 Registro'!$A$4:$A$103,0))),"")</f>
        <v/>
      </c>
      <c r="D87" s="18" t="str">
        <f t="array" ref="D87">IFERROR(IF(I87="","",INDEX('📦 Registro'!$E$4:$E$103,MATCH(I87,'📦 Registro'!$A$4:$A$103,0))),"")</f>
        <v/>
      </c>
      <c r="E87" s="18" t="str">
        <f t="array" ref="E87">IFERROR(IF(I87="","",INDEX('📦 Registro'!$I$4:$I$103,MATCH(I87,'📦 Registro'!$A$4:$A$103,0))),"")</f>
        <v/>
      </c>
      <c r="F87" s="23" t="str">
        <f t="array" ref="F87">IFERROR(IF(I87="","",INDEX('📦 Registro'!$C$4:$C$103,MATCH(I87,'📦 Registro'!$A$4:$A$103,0))),"")</f>
        <v/>
      </c>
      <c r="G87" s="22" t="str">
        <f t="array" ref="G87">IFERROR(IF(I87="","",INDEX('📦 Registro'!$N$4:$N$103,MATCH(I87,'📦 Registro'!$A$4:$A$103,0))),"")</f>
        <v/>
      </c>
      <c r="H87" s="60" t="str">
        <f t="shared" si="1"/>
        <v/>
      </c>
      <c r="I87" s="59" t="str">
        <f t="array" ref="I87">IFERROR(INDEX(#REF!,MATCH(SMALL(IF(#REF!&lt;&gt;"",ROW(#REF!)-3),84),#REF!,0)),"")</f>
        <v/>
      </c>
    </row>
    <row r="88" ht="15.0" customHeight="1">
      <c r="A88" s="6" t="str">
        <f t="array" ref="A88">IFERROR(IF(I88="","",INDEX('📦 Registro'!$A$4:$A$103,MATCH(I88,'📦 Registro'!$A$4:$A$103,0))),"")</f>
        <v/>
      </c>
      <c r="B88" s="6" t="str">
        <f t="array" ref="B88">IFERROR(IF(I88="","",INDEX('📦 Registro'!$B$4:$B$103,MATCH(I88,'📦 Registro'!$A$4:$A$103,0))),"")</f>
        <v/>
      </c>
      <c r="C88" s="24" t="str">
        <f t="array" ref="C88">IFERROR(IF(I88="","",INDEX('📦 Registro'!$D$4:$D$103,MATCH(I88,'📦 Registro'!$A$4:$A$103,0))),"")</f>
        <v/>
      </c>
      <c r="D88" s="6" t="str">
        <f t="array" ref="D88">IFERROR(IF(I88="","",INDEX('📦 Registro'!$E$4:$E$103,MATCH(I88,'📦 Registro'!$A$4:$A$103,0))),"")</f>
        <v/>
      </c>
      <c r="E88" s="6" t="str">
        <f t="array" ref="E88">IFERROR(IF(I88="","",INDEX('📦 Registro'!$I$4:$I$103,MATCH(I88,'📦 Registro'!$A$4:$A$103,0))),"")</f>
        <v/>
      </c>
      <c r="F88" s="29" t="str">
        <f t="array" ref="F88">IFERROR(IF(I88="","",INDEX('📦 Registro'!$C$4:$C$103,MATCH(I88,'📦 Registro'!$A$4:$A$103,0))),"")</f>
        <v/>
      </c>
      <c r="G88" s="11" t="str">
        <f t="array" ref="G88">IFERROR(IF(I88="","",INDEX('📦 Registro'!$N$4:$N$103,MATCH(I88,'📦 Registro'!$A$4:$A$103,0))),"")</f>
        <v/>
      </c>
      <c r="H88" s="58" t="str">
        <f t="shared" si="1"/>
        <v/>
      </c>
      <c r="I88" s="59" t="str">
        <f t="array" ref="I88">IFERROR(INDEX(#REF!,MATCH(SMALL(IF(#REF!&lt;&gt;"",ROW(#REF!)-3),85),#REF!,0)),"")</f>
        <v/>
      </c>
    </row>
    <row r="89" ht="15.0" customHeight="1">
      <c r="A89" s="18" t="str">
        <f t="array" ref="A89">IFERROR(IF(I89="","",INDEX('📦 Registro'!$A$4:$A$103,MATCH(I89,'📦 Registro'!$A$4:$A$103,0))),"")</f>
        <v/>
      </c>
      <c r="B89" s="18" t="str">
        <f t="array" ref="B89">IFERROR(IF(I89="","",INDEX('📦 Registro'!$B$4:$B$103,MATCH(I89,'📦 Registro'!$A$4:$A$103,0))),"")</f>
        <v/>
      </c>
      <c r="C89" s="20" t="str">
        <f t="array" ref="C89">IFERROR(IF(I89="","",INDEX('📦 Registro'!$D$4:$D$103,MATCH(I89,'📦 Registro'!$A$4:$A$103,0))),"")</f>
        <v/>
      </c>
      <c r="D89" s="18" t="str">
        <f t="array" ref="D89">IFERROR(IF(I89="","",INDEX('📦 Registro'!$E$4:$E$103,MATCH(I89,'📦 Registro'!$A$4:$A$103,0))),"")</f>
        <v/>
      </c>
      <c r="E89" s="18" t="str">
        <f t="array" ref="E89">IFERROR(IF(I89="","",INDEX('📦 Registro'!$I$4:$I$103,MATCH(I89,'📦 Registro'!$A$4:$A$103,0))),"")</f>
        <v/>
      </c>
      <c r="F89" s="23" t="str">
        <f t="array" ref="F89">IFERROR(IF(I89="","",INDEX('📦 Registro'!$C$4:$C$103,MATCH(I89,'📦 Registro'!$A$4:$A$103,0))),"")</f>
        <v/>
      </c>
      <c r="G89" s="22" t="str">
        <f t="array" ref="G89">IFERROR(IF(I89="","",INDEX('📦 Registro'!$N$4:$N$103,MATCH(I89,'📦 Registro'!$A$4:$A$103,0))),"")</f>
        <v/>
      </c>
      <c r="H89" s="60" t="str">
        <f t="shared" si="1"/>
        <v/>
      </c>
      <c r="I89" s="59" t="str">
        <f t="array" ref="I89">IFERROR(INDEX(#REF!,MATCH(SMALL(IF(#REF!&lt;&gt;"",ROW(#REF!)-3),86),#REF!,0)),"")</f>
        <v/>
      </c>
    </row>
    <row r="90" ht="15.0" customHeight="1">
      <c r="A90" s="6" t="str">
        <f t="array" ref="A90">IFERROR(IF(I90="","",INDEX('📦 Registro'!$A$4:$A$103,MATCH(I90,'📦 Registro'!$A$4:$A$103,0))),"")</f>
        <v/>
      </c>
      <c r="B90" s="6" t="str">
        <f t="array" ref="B90">IFERROR(IF(I90="","",INDEX('📦 Registro'!$B$4:$B$103,MATCH(I90,'📦 Registro'!$A$4:$A$103,0))),"")</f>
        <v/>
      </c>
      <c r="C90" s="24" t="str">
        <f t="array" ref="C90">IFERROR(IF(I90="","",INDEX('📦 Registro'!$D$4:$D$103,MATCH(I90,'📦 Registro'!$A$4:$A$103,0))),"")</f>
        <v/>
      </c>
      <c r="D90" s="6" t="str">
        <f t="array" ref="D90">IFERROR(IF(I90="","",INDEX('📦 Registro'!$E$4:$E$103,MATCH(I90,'📦 Registro'!$A$4:$A$103,0))),"")</f>
        <v/>
      </c>
      <c r="E90" s="6" t="str">
        <f t="array" ref="E90">IFERROR(IF(I90="","",INDEX('📦 Registro'!$I$4:$I$103,MATCH(I90,'📦 Registro'!$A$4:$A$103,0))),"")</f>
        <v/>
      </c>
      <c r="F90" s="29" t="str">
        <f t="array" ref="F90">IFERROR(IF(I90="","",INDEX('📦 Registro'!$C$4:$C$103,MATCH(I90,'📦 Registro'!$A$4:$A$103,0))),"")</f>
        <v/>
      </c>
      <c r="G90" s="11" t="str">
        <f t="array" ref="G90">IFERROR(IF(I90="","",INDEX('📦 Registro'!$N$4:$N$103,MATCH(I90,'📦 Registro'!$A$4:$A$103,0))),"")</f>
        <v/>
      </c>
      <c r="H90" s="58" t="str">
        <f t="shared" si="1"/>
        <v/>
      </c>
      <c r="I90" s="59" t="str">
        <f t="array" ref="I90">IFERROR(INDEX(#REF!,MATCH(SMALL(IF(#REF!&lt;&gt;"",ROW(#REF!)-3),87),#REF!,0)),"")</f>
        <v/>
      </c>
    </row>
    <row r="91" ht="15.0" customHeight="1">
      <c r="A91" s="18" t="str">
        <f t="array" ref="A91">IFERROR(IF(I91="","",INDEX('📦 Registro'!$A$4:$A$103,MATCH(I91,'📦 Registro'!$A$4:$A$103,0))),"")</f>
        <v/>
      </c>
      <c r="B91" s="18" t="str">
        <f t="array" ref="B91">IFERROR(IF(I91="","",INDEX('📦 Registro'!$B$4:$B$103,MATCH(I91,'📦 Registro'!$A$4:$A$103,0))),"")</f>
        <v/>
      </c>
      <c r="C91" s="20" t="str">
        <f t="array" ref="C91">IFERROR(IF(I91="","",INDEX('📦 Registro'!$D$4:$D$103,MATCH(I91,'📦 Registro'!$A$4:$A$103,0))),"")</f>
        <v/>
      </c>
      <c r="D91" s="18" t="str">
        <f t="array" ref="D91">IFERROR(IF(I91="","",INDEX('📦 Registro'!$E$4:$E$103,MATCH(I91,'📦 Registro'!$A$4:$A$103,0))),"")</f>
        <v/>
      </c>
      <c r="E91" s="18" t="str">
        <f t="array" ref="E91">IFERROR(IF(I91="","",INDEX('📦 Registro'!$I$4:$I$103,MATCH(I91,'📦 Registro'!$A$4:$A$103,0))),"")</f>
        <v/>
      </c>
      <c r="F91" s="23" t="str">
        <f t="array" ref="F91">IFERROR(IF(I91="","",INDEX('📦 Registro'!$C$4:$C$103,MATCH(I91,'📦 Registro'!$A$4:$A$103,0))),"")</f>
        <v/>
      </c>
      <c r="G91" s="22" t="str">
        <f t="array" ref="G91">IFERROR(IF(I91="","",INDEX('📦 Registro'!$N$4:$N$103,MATCH(I91,'📦 Registro'!$A$4:$A$103,0))),"")</f>
        <v/>
      </c>
      <c r="H91" s="60" t="str">
        <f t="shared" si="1"/>
        <v/>
      </c>
      <c r="I91" s="59" t="str">
        <f t="array" ref="I91">IFERROR(INDEX(#REF!,MATCH(SMALL(IF(#REF!&lt;&gt;"",ROW(#REF!)-3),88),#REF!,0)),"")</f>
        <v/>
      </c>
    </row>
    <row r="92" ht="15.0" customHeight="1">
      <c r="A92" s="6" t="str">
        <f t="array" ref="A92">IFERROR(IF(I92="","",INDEX('📦 Registro'!$A$4:$A$103,MATCH(I92,'📦 Registro'!$A$4:$A$103,0))),"")</f>
        <v/>
      </c>
      <c r="B92" s="6" t="str">
        <f t="array" ref="B92">IFERROR(IF(I92="","",INDEX('📦 Registro'!$B$4:$B$103,MATCH(I92,'📦 Registro'!$A$4:$A$103,0))),"")</f>
        <v/>
      </c>
      <c r="C92" s="24" t="str">
        <f t="array" ref="C92">IFERROR(IF(I92="","",INDEX('📦 Registro'!$D$4:$D$103,MATCH(I92,'📦 Registro'!$A$4:$A$103,0))),"")</f>
        <v/>
      </c>
      <c r="D92" s="6" t="str">
        <f t="array" ref="D92">IFERROR(IF(I92="","",INDEX('📦 Registro'!$E$4:$E$103,MATCH(I92,'📦 Registro'!$A$4:$A$103,0))),"")</f>
        <v/>
      </c>
      <c r="E92" s="6" t="str">
        <f t="array" ref="E92">IFERROR(IF(I92="","",INDEX('📦 Registro'!$I$4:$I$103,MATCH(I92,'📦 Registro'!$A$4:$A$103,0))),"")</f>
        <v/>
      </c>
      <c r="F92" s="29" t="str">
        <f t="array" ref="F92">IFERROR(IF(I92="","",INDEX('📦 Registro'!$C$4:$C$103,MATCH(I92,'📦 Registro'!$A$4:$A$103,0))),"")</f>
        <v/>
      </c>
      <c r="G92" s="11" t="str">
        <f t="array" ref="G92">IFERROR(IF(I92="","",INDEX('📦 Registro'!$N$4:$N$103,MATCH(I92,'📦 Registro'!$A$4:$A$103,0))),"")</f>
        <v/>
      </c>
      <c r="H92" s="58" t="str">
        <f t="shared" si="1"/>
        <v/>
      </c>
      <c r="I92" s="59" t="str">
        <f t="array" ref="I92">IFERROR(INDEX(#REF!,MATCH(SMALL(IF(#REF!&lt;&gt;"",ROW(#REF!)-3),89),#REF!,0)),"")</f>
        <v/>
      </c>
    </row>
    <row r="93" ht="15.0" customHeight="1">
      <c r="A93" s="18" t="str">
        <f t="array" ref="A93">IFERROR(IF(I93="","",INDEX('📦 Registro'!$A$4:$A$103,MATCH(I93,'📦 Registro'!$A$4:$A$103,0))),"")</f>
        <v/>
      </c>
      <c r="B93" s="18" t="str">
        <f t="array" ref="B93">IFERROR(IF(I93="","",INDEX('📦 Registro'!$B$4:$B$103,MATCH(I93,'📦 Registro'!$A$4:$A$103,0))),"")</f>
        <v/>
      </c>
      <c r="C93" s="20" t="str">
        <f t="array" ref="C93">IFERROR(IF(I93="","",INDEX('📦 Registro'!$D$4:$D$103,MATCH(I93,'📦 Registro'!$A$4:$A$103,0))),"")</f>
        <v/>
      </c>
      <c r="D93" s="18" t="str">
        <f t="array" ref="D93">IFERROR(IF(I93="","",INDEX('📦 Registro'!$E$4:$E$103,MATCH(I93,'📦 Registro'!$A$4:$A$103,0))),"")</f>
        <v/>
      </c>
      <c r="E93" s="18" t="str">
        <f t="array" ref="E93">IFERROR(IF(I93="","",INDEX('📦 Registro'!$I$4:$I$103,MATCH(I93,'📦 Registro'!$A$4:$A$103,0))),"")</f>
        <v/>
      </c>
      <c r="F93" s="23" t="str">
        <f t="array" ref="F93">IFERROR(IF(I93="","",INDEX('📦 Registro'!$C$4:$C$103,MATCH(I93,'📦 Registro'!$A$4:$A$103,0))),"")</f>
        <v/>
      </c>
      <c r="G93" s="22" t="str">
        <f t="array" ref="G93">IFERROR(IF(I93="","",INDEX('📦 Registro'!$N$4:$N$103,MATCH(I93,'📦 Registro'!$A$4:$A$103,0))),"")</f>
        <v/>
      </c>
      <c r="H93" s="60" t="str">
        <f t="shared" si="1"/>
        <v/>
      </c>
      <c r="I93" s="59" t="str">
        <f t="array" ref="I93">IFERROR(INDEX(#REF!,MATCH(SMALL(IF(#REF!&lt;&gt;"",ROW(#REF!)-3),90),#REF!,0)),"")</f>
        <v/>
      </c>
    </row>
    <row r="94" ht="15.0" customHeight="1">
      <c r="A94" s="6" t="str">
        <f t="array" ref="A94">IFERROR(IF(I94="","",INDEX('📦 Registro'!$A$4:$A$103,MATCH(I94,'📦 Registro'!$A$4:$A$103,0))),"")</f>
        <v/>
      </c>
      <c r="B94" s="6" t="str">
        <f t="array" ref="B94">IFERROR(IF(I94="","",INDEX('📦 Registro'!$B$4:$B$103,MATCH(I94,'📦 Registro'!$A$4:$A$103,0))),"")</f>
        <v/>
      </c>
      <c r="C94" s="24" t="str">
        <f t="array" ref="C94">IFERROR(IF(I94="","",INDEX('📦 Registro'!$D$4:$D$103,MATCH(I94,'📦 Registro'!$A$4:$A$103,0))),"")</f>
        <v/>
      </c>
      <c r="D94" s="6" t="str">
        <f t="array" ref="D94">IFERROR(IF(I94="","",INDEX('📦 Registro'!$E$4:$E$103,MATCH(I94,'📦 Registro'!$A$4:$A$103,0))),"")</f>
        <v/>
      </c>
      <c r="E94" s="6" t="str">
        <f t="array" ref="E94">IFERROR(IF(I94="","",INDEX('📦 Registro'!$I$4:$I$103,MATCH(I94,'📦 Registro'!$A$4:$A$103,0))),"")</f>
        <v/>
      </c>
      <c r="F94" s="29" t="str">
        <f t="array" ref="F94">IFERROR(IF(I94="","",INDEX('📦 Registro'!$C$4:$C$103,MATCH(I94,'📦 Registro'!$A$4:$A$103,0))),"")</f>
        <v/>
      </c>
      <c r="G94" s="11" t="str">
        <f t="array" ref="G94">IFERROR(IF(I94="","",INDEX('📦 Registro'!$N$4:$N$103,MATCH(I94,'📦 Registro'!$A$4:$A$103,0))),"")</f>
        <v/>
      </c>
      <c r="H94" s="58" t="str">
        <f t="shared" si="1"/>
        <v/>
      </c>
      <c r="I94" s="59" t="str">
        <f t="array" ref="I94">IFERROR(INDEX(#REF!,MATCH(SMALL(IF(#REF!&lt;&gt;"",ROW(#REF!)-3),91),#REF!,0)),"")</f>
        <v/>
      </c>
    </row>
    <row r="95" ht="15.0" customHeight="1">
      <c r="A95" s="18" t="str">
        <f t="array" ref="A95">IFERROR(IF(I95="","",INDEX('📦 Registro'!$A$4:$A$103,MATCH(I95,'📦 Registro'!$A$4:$A$103,0))),"")</f>
        <v/>
      </c>
      <c r="B95" s="18" t="str">
        <f t="array" ref="B95">IFERROR(IF(I95="","",INDEX('📦 Registro'!$B$4:$B$103,MATCH(I95,'📦 Registro'!$A$4:$A$103,0))),"")</f>
        <v/>
      </c>
      <c r="C95" s="20" t="str">
        <f t="array" ref="C95">IFERROR(IF(I95="","",INDEX('📦 Registro'!$D$4:$D$103,MATCH(I95,'📦 Registro'!$A$4:$A$103,0))),"")</f>
        <v/>
      </c>
      <c r="D95" s="18" t="str">
        <f t="array" ref="D95">IFERROR(IF(I95="","",INDEX('📦 Registro'!$E$4:$E$103,MATCH(I95,'📦 Registro'!$A$4:$A$103,0))),"")</f>
        <v/>
      </c>
      <c r="E95" s="18" t="str">
        <f t="array" ref="E95">IFERROR(IF(I95="","",INDEX('📦 Registro'!$I$4:$I$103,MATCH(I95,'📦 Registro'!$A$4:$A$103,0))),"")</f>
        <v/>
      </c>
      <c r="F95" s="23" t="str">
        <f t="array" ref="F95">IFERROR(IF(I95="","",INDEX('📦 Registro'!$C$4:$C$103,MATCH(I95,'📦 Registro'!$A$4:$A$103,0))),"")</f>
        <v/>
      </c>
      <c r="G95" s="22" t="str">
        <f t="array" ref="G95">IFERROR(IF(I95="","",INDEX('📦 Registro'!$N$4:$N$103,MATCH(I95,'📦 Registro'!$A$4:$A$103,0))),"")</f>
        <v/>
      </c>
      <c r="H95" s="60" t="str">
        <f t="shared" si="1"/>
        <v/>
      </c>
      <c r="I95" s="59" t="str">
        <f t="array" ref="I95">IFERROR(INDEX(#REF!,MATCH(SMALL(IF(#REF!&lt;&gt;"",ROW(#REF!)-3),92),#REF!,0)),"")</f>
        <v/>
      </c>
    </row>
    <row r="96" ht="15.0" customHeight="1">
      <c r="A96" s="6" t="str">
        <f t="array" ref="A96">IFERROR(IF(I96="","",INDEX('📦 Registro'!$A$4:$A$103,MATCH(I96,'📦 Registro'!$A$4:$A$103,0))),"")</f>
        <v/>
      </c>
      <c r="B96" s="6" t="str">
        <f t="array" ref="B96">IFERROR(IF(I96="","",INDEX('📦 Registro'!$B$4:$B$103,MATCH(I96,'📦 Registro'!$A$4:$A$103,0))),"")</f>
        <v/>
      </c>
      <c r="C96" s="24" t="str">
        <f t="array" ref="C96">IFERROR(IF(I96="","",INDEX('📦 Registro'!$D$4:$D$103,MATCH(I96,'📦 Registro'!$A$4:$A$103,0))),"")</f>
        <v/>
      </c>
      <c r="D96" s="6" t="str">
        <f t="array" ref="D96">IFERROR(IF(I96="","",INDEX('📦 Registro'!$E$4:$E$103,MATCH(I96,'📦 Registro'!$A$4:$A$103,0))),"")</f>
        <v/>
      </c>
      <c r="E96" s="6" t="str">
        <f t="array" ref="E96">IFERROR(IF(I96="","",INDEX('📦 Registro'!$I$4:$I$103,MATCH(I96,'📦 Registro'!$A$4:$A$103,0))),"")</f>
        <v/>
      </c>
      <c r="F96" s="29" t="str">
        <f t="array" ref="F96">IFERROR(IF(I96="","",INDEX('📦 Registro'!$C$4:$C$103,MATCH(I96,'📦 Registro'!$A$4:$A$103,0))),"")</f>
        <v/>
      </c>
      <c r="G96" s="11" t="str">
        <f t="array" ref="G96">IFERROR(IF(I96="","",INDEX('📦 Registro'!$N$4:$N$103,MATCH(I96,'📦 Registro'!$A$4:$A$103,0))),"")</f>
        <v/>
      </c>
      <c r="H96" s="58" t="str">
        <f t="shared" si="1"/>
        <v/>
      </c>
      <c r="I96" s="59" t="str">
        <f t="array" ref="I96">IFERROR(INDEX(#REF!,MATCH(SMALL(IF(#REF!&lt;&gt;"",ROW(#REF!)-3),93),#REF!,0)),"")</f>
        <v/>
      </c>
    </row>
    <row r="97" ht="15.0" customHeight="1">
      <c r="A97" s="18" t="str">
        <f t="array" ref="A97">IFERROR(IF(I97="","",INDEX('📦 Registro'!$A$4:$A$103,MATCH(I97,'📦 Registro'!$A$4:$A$103,0))),"")</f>
        <v/>
      </c>
      <c r="B97" s="18" t="str">
        <f t="array" ref="B97">IFERROR(IF(I97="","",INDEX('📦 Registro'!$B$4:$B$103,MATCH(I97,'📦 Registro'!$A$4:$A$103,0))),"")</f>
        <v/>
      </c>
      <c r="C97" s="20" t="str">
        <f t="array" ref="C97">IFERROR(IF(I97="","",INDEX('📦 Registro'!$D$4:$D$103,MATCH(I97,'📦 Registro'!$A$4:$A$103,0))),"")</f>
        <v/>
      </c>
      <c r="D97" s="18" t="str">
        <f t="array" ref="D97">IFERROR(IF(I97="","",INDEX('📦 Registro'!$E$4:$E$103,MATCH(I97,'📦 Registro'!$A$4:$A$103,0))),"")</f>
        <v/>
      </c>
      <c r="E97" s="18" t="str">
        <f t="array" ref="E97">IFERROR(IF(I97="","",INDEX('📦 Registro'!$I$4:$I$103,MATCH(I97,'📦 Registro'!$A$4:$A$103,0))),"")</f>
        <v/>
      </c>
      <c r="F97" s="23" t="str">
        <f t="array" ref="F97">IFERROR(IF(I97="","",INDEX('📦 Registro'!$C$4:$C$103,MATCH(I97,'📦 Registro'!$A$4:$A$103,0))),"")</f>
        <v/>
      </c>
      <c r="G97" s="22" t="str">
        <f t="array" ref="G97">IFERROR(IF(I97="","",INDEX('📦 Registro'!$N$4:$N$103,MATCH(I97,'📦 Registro'!$A$4:$A$103,0))),"")</f>
        <v/>
      </c>
      <c r="H97" s="60" t="str">
        <f t="shared" si="1"/>
        <v/>
      </c>
      <c r="I97" s="59" t="str">
        <f t="array" ref="I97">IFERROR(INDEX(#REF!,MATCH(SMALL(IF(#REF!&lt;&gt;"",ROW(#REF!)-3),94),#REF!,0)),"")</f>
        <v/>
      </c>
    </row>
    <row r="98" ht="15.0" customHeight="1">
      <c r="A98" s="6" t="str">
        <f t="array" ref="A98">IFERROR(IF(I98="","",INDEX('📦 Registro'!$A$4:$A$103,MATCH(I98,'📦 Registro'!$A$4:$A$103,0))),"")</f>
        <v/>
      </c>
      <c r="B98" s="6" t="str">
        <f t="array" ref="B98">IFERROR(IF(I98="","",INDEX('📦 Registro'!$B$4:$B$103,MATCH(I98,'📦 Registro'!$A$4:$A$103,0))),"")</f>
        <v/>
      </c>
      <c r="C98" s="24" t="str">
        <f t="array" ref="C98">IFERROR(IF(I98="","",INDEX('📦 Registro'!$D$4:$D$103,MATCH(I98,'📦 Registro'!$A$4:$A$103,0))),"")</f>
        <v/>
      </c>
      <c r="D98" s="6" t="str">
        <f t="array" ref="D98">IFERROR(IF(I98="","",INDEX('📦 Registro'!$E$4:$E$103,MATCH(I98,'📦 Registro'!$A$4:$A$103,0))),"")</f>
        <v/>
      </c>
      <c r="E98" s="6" t="str">
        <f t="array" ref="E98">IFERROR(IF(I98="","",INDEX('📦 Registro'!$I$4:$I$103,MATCH(I98,'📦 Registro'!$A$4:$A$103,0))),"")</f>
        <v/>
      </c>
      <c r="F98" s="29" t="str">
        <f t="array" ref="F98">IFERROR(IF(I98="","",INDEX('📦 Registro'!$C$4:$C$103,MATCH(I98,'📦 Registro'!$A$4:$A$103,0))),"")</f>
        <v/>
      </c>
      <c r="G98" s="11" t="str">
        <f t="array" ref="G98">IFERROR(IF(I98="","",INDEX('📦 Registro'!$N$4:$N$103,MATCH(I98,'📦 Registro'!$A$4:$A$103,0))),"")</f>
        <v/>
      </c>
      <c r="H98" s="58" t="str">
        <f t="shared" si="1"/>
        <v/>
      </c>
      <c r="I98" s="59" t="str">
        <f t="array" ref="I98">IFERROR(INDEX(#REF!,MATCH(SMALL(IF(#REF!&lt;&gt;"",ROW(#REF!)-3),95),#REF!,0)),"")</f>
        <v/>
      </c>
    </row>
    <row r="99" ht="15.0" customHeight="1">
      <c r="A99" s="18" t="str">
        <f t="array" ref="A99">IFERROR(IF(I99="","",INDEX('📦 Registro'!$A$4:$A$103,MATCH(I99,'📦 Registro'!$A$4:$A$103,0))),"")</f>
        <v/>
      </c>
      <c r="B99" s="18" t="str">
        <f t="array" ref="B99">IFERROR(IF(I99="","",INDEX('📦 Registro'!$B$4:$B$103,MATCH(I99,'📦 Registro'!$A$4:$A$103,0))),"")</f>
        <v/>
      </c>
      <c r="C99" s="20" t="str">
        <f t="array" ref="C99">IFERROR(IF(I99="","",INDEX('📦 Registro'!$D$4:$D$103,MATCH(I99,'📦 Registro'!$A$4:$A$103,0))),"")</f>
        <v/>
      </c>
      <c r="D99" s="18" t="str">
        <f t="array" ref="D99">IFERROR(IF(I99="","",INDEX('📦 Registro'!$E$4:$E$103,MATCH(I99,'📦 Registro'!$A$4:$A$103,0))),"")</f>
        <v/>
      </c>
      <c r="E99" s="18" t="str">
        <f t="array" ref="E99">IFERROR(IF(I99="","",INDEX('📦 Registro'!$I$4:$I$103,MATCH(I99,'📦 Registro'!$A$4:$A$103,0))),"")</f>
        <v/>
      </c>
      <c r="F99" s="23" t="str">
        <f t="array" ref="F99">IFERROR(IF(I99="","",INDEX('📦 Registro'!$C$4:$C$103,MATCH(I99,'📦 Registro'!$A$4:$A$103,0))),"")</f>
        <v/>
      </c>
      <c r="G99" s="22" t="str">
        <f t="array" ref="G99">IFERROR(IF(I99="","",INDEX('📦 Registro'!$N$4:$N$103,MATCH(I99,'📦 Registro'!$A$4:$A$103,0))),"")</f>
        <v/>
      </c>
      <c r="H99" s="60" t="str">
        <f t="shared" si="1"/>
        <v/>
      </c>
      <c r="I99" s="59" t="str">
        <f t="array" ref="I99">IFERROR(INDEX(#REF!,MATCH(SMALL(IF(#REF!&lt;&gt;"",ROW(#REF!)-3),96),#REF!,0)),"")</f>
        <v/>
      </c>
    </row>
    <row r="100" ht="15.0" customHeight="1">
      <c r="A100" s="6" t="str">
        <f t="array" ref="A100">IFERROR(IF(I100="","",INDEX('📦 Registro'!$A$4:$A$103,MATCH(I100,'📦 Registro'!$A$4:$A$103,0))),"")</f>
        <v/>
      </c>
      <c r="B100" s="6" t="str">
        <f t="array" ref="B100">IFERROR(IF(I100="","",INDEX('📦 Registro'!$B$4:$B$103,MATCH(I100,'📦 Registro'!$A$4:$A$103,0))),"")</f>
        <v/>
      </c>
      <c r="C100" s="24" t="str">
        <f t="array" ref="C100">IFERROR(IF(I100="","",INDEX('📦 Registro'!$D$4:$D$103,MATCH(I100,'📦 Registro'!$A$4:$A$103,0))),"")</f>
        <v/>
      </c>
      <c r="D100" s="6" t="str">
        <f t="array" ref="D100">IFERROR(IF(I100="","",INDEX('📦 Registro'!$E$4:$E$103,MATCH(I100,'📦 Registro'!$A$4:$A$103,0))),"")</f>
        <v/>
      </c>
      <c r="E100" s="6" t="str">
        <f t="array" ref="E100">IFERROR(IF(I100="","",INDEX('📦 Registro'!$I$4:$I$103,MATCH(I100,'📦 Registro'!$A$4:$A$103,0))),"")</f>
        <v/>
      </c>
      <c r="F100" s="29" t="str">
        <f t="array" ref="F100">IFERROR(IF(I100="","",INDEX('📦 Registro'!$C$4:$C$103,MATCH(I100,'📦 Registro'!$A$4:$A$103,0))),"")</f>
        <v/>
      </c>
      <c r="G100" s="11" t="str">
        <f t="array" ref="G100">IFERROR(IF(I100="","",INDEX('📦 Registro'!$N$4:$N$103,MATCH(I100,'📦 Registro'!$A$4:$A$103,0))),"")</f>
        <v/>
      </c>
      <c r="H100" s="58" t="str">
        <f t="shared" si="1"/>
        <v/>
      </c>
      <c r="I100" s="59" t="str">
        <f t="array" ref="I100">IFERROR(INDEX(#REF!,MATCH(SMALL(IF(#REF!&lt;&gt;"",ROW(#REF!)-3),97),#REF!,0)),"")</f>
        <v/>
      </c>
    </row>
    <row r="101" ht="15.0" customHeight="1">
      <c r="A101" s="18" t="str">
        <f t="array" ref="A101">IFERROR(IF(I101="","",INDEX('📦 Registro'!$A$4:$A$103,MATCH(I101,'📦 Registro'!$A$4:$A$103,0))),"")</f>
        <v/>
      </c>
      <c r="B101" s="18" t="str">
        <f t="array" ref="B101">IFERROR(IF(I101="","",INDEX('📦 Registro'!$B$4:$B$103,MATCH(I101,'📦 Registro'!$A$4:$A$103,0))),"")</f>
        <v/>
      </c>
      <c r="C101" s="20" t="str">
        <f t="array" ref="C101">IFERROR(IF(I101="","",INDEX('📦 Registro'!$D$4:$D$103,MATCH(I101,'📦 Registro'!$A$4:$A$103,0))),"")</f>
        <v/>
      </c>
      <c r="D101" s="18" t="str">
        <f t="array" ref="D101">IFERROR(IF(I101="","",INDEX('📦 Registro'!$E$4:$E$103,MATCH(I101,'📦 Registro'!$A$4:$A$103,0))),"")</f>
        <v/>
      </c>
      <c r="E101" s="18" t="str">
        <f t="array" ref="E101">IFERROR(IF(I101="","",INDEX('📦 Registro'!$I$4:$I$103,MATCH(I101,'📦 Registro'!$A$4:$A$103,0))),"")</f>
        <v/>
      </c>
      <c r="F101" s="23" t="str">
        <f t="array" ref="F101">IFERROR(IF(I101="","",INDEX('📦 Registro'!$C$4:$C$103,MATCH(I101,'📦 Registro'!$A$4:$A$103,0))),"")</f>
        <v/>
      </c>
      <c r="G101" s="22" t="str">
        <f t="array" ref="G101">IFERROR(IF(I101="","",INDEX('📦 Registro'!$N$4:$N$103,MATCH(I101,'📦 Registro'!$A$4:$A$103,0))),"")</f>
        <v/>
      </c>
      <c r="H101" s="60" t="str">
        <f t="shared" si="1"/>
        <v/>
      </c>
      <c r="I101" s="59" t="str">
        <f t="array" ref="I101">IFERROR(INDEX(#REF!,MATCH(SMALL(IF(#REF!&lt;&gt;"",ROW(#REF!)-3),98),#REF!,0)),"")</f>
        <v/>
      </c>
    </row>
    <row r="102" ht="15.0" customHeight="1">
      <c r="A102" s="6" t="str">
        <f t="array" ref="A102">IFERROR(IF(I102="","",INDEX('📦 Registro'!$A$4:$A$103,MATCH(I102,'📦 Registro'!$A$4:$A$103,0))),"")</f>
        <v/>
      </c>
      <c r="B102" s="6" t="str">
        <f t="array" ref="B102">IFERROR(IF(I102="","",INDEX('📦 Registro'!$B$4:$B$103,MATCH(I102,'📦 Registro'!$A$4:$A$103,0))),"")</f>
        <v/>
      </c>
      <c r="C102" s="24" t="str">
        <f t="array" ref="C102">IFERROR(IF(I102="","",INDEX('📦 Registro'!$D$4:$D$103,MATCH(I102,'📦 Registro'!$A$4:$A$103,0))),"")</f>
        <v/>
      </c>
      <c r="D102" s="6" t="str">
        <f t="array" ref="D102">IFERROR(IF(I102="","",INDEX('📦 Registro'!$E$4:$E$103,MATCH(I102,'📦 Registro'!$A$4:$A$103,0))),"")</f>
        <v/>
      </c>
      <c r="E102" s="6" t="str">
        <f t="array" ref="E102">IFERROR(IF(I102="","",INDEX('📦 Registro'!$I$4:$I$103,MATCH(I102,'📦 Registro'!$A$4:$A$103,0))),"")</f>
        <v/>
      </c>
      <c r="F102" s="29" t="str">
        <f t="array" ref="F102">IFERROR(IF(I102="","",INDEX('📦 Registro'!$C$4:$C$103,MATCH(I102,'📦 Registro'!$A$4:$A$103,0))),"")</f>
        <v/>
      </c>
      <c r="G102" s="11" t="str">
        <f t="array" ref="G102">IFERROR(IF(I102="","",INDEX('📦 Registro'!$N$4:$N$103,MATCH(I102,'📦 Registro'!$A$4:$A$103,0))),"")</f>
        <v/>
      </c>
      <c r="H102" s="58" t="str">
        <f t="shared" si="1"/>
        <v/>
      </c>
      <c r="I102" s="59" t="str">
        <f t="array" ref="I102">IFERROR(INDEX(#REF!,MATCH(SMALL(IF(#REF!&lt;&gt;"",ROW(#REF!)-3),99),#REF!,0)),"")</f>
        <v/>
      </c>
    </row>
    <row r="103" ht="15.0" customHeight="1">
      <c r="A103" s="61" t="str">
        <f>COUNTA(A4:A102)&amp;" equipos en stock"</f>
        <v>98 equipos en stock</v>
      </c>
      <c r="B103" s="62"/>
      <c r="C103" s="62"/>
      <c r="D103" s="62"/>
      <c r="E103" s="62"/>
      <c r="F103" s="62"/>
      <c r="G103" s="62"/>
      <c r="H103" s="63"/>
      <c r="I103" s="59" t="str">
        <f t="array" ref="I103">IFERROR(INDEX(#REF!,MATCH(SMALL(IF(#REF!&lt;&gt;"",ROW(#REF!)-3),100),#REF!,0)),"")</f>
        <v/>
      </c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03:H103"/>
  </mergeCells>
  <conditionalFormatting sqref="H4:H103">
    <cfRule type="cellIs" dxfId="1" priority="1" operator="greaterThan">
      <formula>60</formula>
    </cfRule>
  </conditionalFormatting>
  <conditionalFormatting sqref="H4:H103">
    <cfRule type="cellIs" dxfId="5" priority="2" operator="between">
      <formula>30</formula>
      <formula>60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4" width="16.0"/>
    <col customWidth="1" min="5" max="6" width="14.0"/>
  </cols>
  <sheetData>
    <row r="1" ht="37.5" customHeight="1">
      <c r="A1" s="1" t="s">
        <v>123</v>
      </c>
      <c r="B1" s="2"/>
      <c r="C1" s="2"/>
      <c r="D1" s="2"/>
      <c r="E1" s="2"/>
      <c r="F1" s="2"/>
    </row>
    <row r="2">
      <c r="A2" s="38"/>
      <c r="B2" s="38"/>
      <c r="C2" s="38"/>
      <c r="D2" s="38"/>
      <c r="E2" s="38"/>
      <c r="F2" s="38"/>
    </row>
    <row r="3" ht="21.75" customHeight="1">
      <c r="A3" s="43" t="s">
        <v>124</v>
      </c>
      <c r="B3" s="2"/>
      <c r="C3" s="45" t="s">
        <v>125</v>
      </c>
      <c r="D3" s="2"/>
      <c r="E3" s="39" t="s">
        <v>126</v>
      </c>
      <c r="F3" s="2"/>
    </row>
    <row r="4" ht="43.5" customHeight="1">
      <c r="A4" s="64">
        <f>COUNTA('📋 Stock Activo'!A4:A102)</f>
        <v>98</v>
      </c>
      <c r="B4" s="2"/>
      <c r="C4" s="65">
        <f>COUNTA('📦 Registro'!O4:O103)</f>
        <v>10</v>
      </c>
      <c r="D4" s="2"/>
      <c r="E4" s="66">
        <f>COUNTA('📦 Registro'!L4:L103)</f>
        <v>19</v>
      </c>
      <c r="F4" s="2"/>
    </row>
    <row r="5">
      <c r="A5" s="38"/>
      <c r="B5" s="38"/>
      <c r="C5" s="38"/>
      <c r="D5" s="38"/>
      <c r="E5" s="38"/>
      <c r="F5" s="38"/>
    </row>
    <row r="6" ht="21.75" customHeight="1">
      <c r="A6" s="39" t="s">
        <v>127</v>
      </c>
      <c r="B6" s="2"/>
      <c r="C6" s="43" t="s">
        <v>128</v>
      </c>
      <c r="D6" s="2"/>
      <c r="E6" s="45" t="s">
        <v>129</v>
      </c>
      <c r="F6" s="2"/>
    </row>
    <row r="7" ht="43.5" customHeight="1">
      <c r="A7" s="67">
        <f>IFERROR(SUM('📦 Registro'!N4:N103),0)</f>
        <v>3654000</v>
      </c>
      <c r="B7" s="2"/>
      <c r="C7" s="68">
        <f>IFERROR(SUM('📦 Registro'!Q4:Q103),0)</f>
        <v>2011000</v>
      </c>
      <c r="D7" s="2"/>
      <c r="E7" s="69">
        <f>IFERROR(SUM('📦 Registro'!S4:S103),0)</f>
        <v>567000</v>
      </c>
      <c r="F7" s="2"/>
    </row>
    <row r="8">
      <c r="A8" s="38"/>
      <c r="B8" s="38"/>
      <c r="C8" s="38"/>
      <c r="D8" s="38"/>
      <c r="E8" s="38"/>
      <c r="F8" s="38"/>
    </row>
    <row r="9" ht="25.5" customHeight="1">
      <c r="A9" s="51" t="s">
        <v>130</v>
      </c>
      <c r="B9" s="2"/>
      <c r="C9" s="2"/>
      <c r="D9" s="2"/>
      <c r="E9" s="2"/>
      <c r="F9" s="2"/>
    </row>
    <row r="10" ht="25.5" customHeight="1">
      <c r="A10" s="52" t="s">
        <v>3</v>
      </c>
      <c r="B10" s="52" t="s">
        <v>124</v>
      </c>
      <c r="C10" s="52" t="s">
        <v>125</v>
      </c>
      <c r="D10" s="52" t="s">
        <v>131</v>
      </c>
      <c r="E10" s="52" t="s">
        <v>132</v>
      </c>
      <c r="F10" s="52" t="s">
        <v>133</v>
      </c>
    </row>
    <row r="11" ht="21.75" customHeight="1">
      <c r="A11" s="70" t="s">
        <v>53</v>
      </c>
      <c r="B11" s="18">
        <f>COUNTIFS('📦 Registro'!$B$4:$B$103,A11,'📦 Registro'!$O$4:$O$103,"")</f>
        <v>3</v>
      </c>
      <c r="C11" s="18">
        <f>COUNTIFS('📦 Registro'!$B$4:$B$103,A11,'📦 Registro'!$O$4:$O$103,"&lt;&gt;")</f>
        <v>1</v>
      </c>
      <c r="D11" s="22">
        <f>IFERROR(SUMIF('📦 Registro'!$B$4:$B$103,A11,'📦 Registro'!$N$4:$N$103),0)</f>
        <v>1584000</v>
      </c>
      <c r="E11" s="22">
        <f>IFERROR(SUMIF('📦 Registro'!$B$4:$B$103,A11,'📦 Registro'!$Q$4:$Q$103),0)</f>
        <v>300000</v>
      </c>
      <c r="F11" s="22">
        <f>IFERROR(SUMIF('📦 Registro'!$B$4:$B$103,A11,'📦 Registro'!$S$4:$S$103),0)</f>
        <v>96000</v>
      </c>
    </row>
    <row r="12" ht="21.75" customHeight="1">
      <c r="A12" s="71" t="s">
        <v>74</v>
      </c>
      <c r="B12" s="6">
        <f>COUNTIFS('📦 Registro'!$B$4:$B$103,A12,'📦 Registro'!$O$4:$O$103,"")</f>
        <v>3</v>
      </c>
      <c r="C12" s="6">
        <f>COUNTIFS('📦 Registro'!$B$4:$B$103,A12,'📦 Registro'!$O$4:$O$103,"&lt;&gt;")</f>
        <v>1</v>
      </c>
      <c r="D12" s="11">
        <f>IFERROR(SUMIF('📦 Registro'!$B$4:$B$103,A12,'📦 Registro'!$N$4:$N$103),0)</f>
        <v>910000</v>
      </c>
      <c r="E12" s="11">
        <f>IFERROR(SUMIF('📦 Registro'!$B$4:$B$103,A12,'📦 Registro'!$Q$4:$Q$103),0)</f>
        <v>361000</v>
      </c>
      <c r="F12" s="11">
        <f>IFERROR(SUMIF('📦 Registro'!$B$4:$B$103,A12,'📦 Registro'!$S$4:$S$103),0)</f>
        <v>151000</v>
      </c>
    </row>
    <row r="13" ht="21.75" customHeight="1">
      <c r="A13" s="70" t="s">
        <v>134</v>
      </c>
      <c r="B13" s="18">
        <f>COUNTIFS('📦 Registro'!$B$4:$B$103,A13,'📦 Registro'!$O$4:$O$103,"")</f>
        <v>0</v>
      </c>
      <c r="C13" s="18">
        <f>COUNTIFS('📦 Registro'!$B$4:$B$103,A13,'📦 Registro'!$O$4:$O$103,"&lt;&gt;")</f>
        <v>0</v>
      </c>
      <c r="D13" s="22">
        <f>IFERROR(SUMIF('📦 Registro'!$B$4:$B$103,A13,'📦 Registro'!$N$4:$N$103),0)</f>
        <v>0</v>
      </c>
      <c r="E13" s="22">
        <f>IFERROR(SUMIF('📦 Registro'!$B$4:$B$103,A13,'📦 Registro'!$Q$4:$Q$103),0)</f>
        <v>0</v>
      </c>
      <c r="F13" s="22">
        <f>IFERROR(SUMIF('📦 Registro'!$B$4:$B$103,A13,'📦 Registro'!$S$4:$S$103),0)</f>
        <v>0</v>
      </c>
    </row>
    <row r="14" ht="21.75" customHeight="1">
      <c r="A14" s="71" t="s">
        <v>135</v>
      </c>
      <c r="B14" s="6">
        <f>COUNTIFS('📦 Registro'!$B$4:$B$103,A14,'📦 Registro'!$O$4:$O$103,"")</f>
        <v>0</v>
      </c>
      <c r="C14" s="6">
        <f>COUNTIFS('📦 Registro'!$B$4:$B$103,A14,'📦 Registro'!$O$4:$O$103,"&lt;&gt;")</f>
        <v>0</v>
      </c>
      <c r="D14" s="11">
        <f>IFERROR(SUMIF('📦 Registro'!$B$4:$B$103,A14,'📦 Registro'!$N$4:$N$103),0)</f>
        <v>0</v>
      </c>
      <c r="E14" s="11">
        <f>IFERROR(SUMIF('📦 Registro'!$B$4:$B$103,A14,'📦 Registro'!$Q$4:$Q$103),0)</f>
        <v>0</v>
      </c>
      <c r="F14" s="11">
        <f>IFERROR(SUMIF('📦 Registro'!$B$4:$B$103,A14,'📦 Registro'!$S$4:$S$103),0)</f>
        <v>0</v>
      </c>
    </row>
    <row r="15" ht="21.75" customHeight="1">
      <c r="A15" s="70" t="s">
        <v>136</v>
      </c>
      <c r="B15" s="18">
        <f>COUNTIFS('📦 Registro'!$B$4:$B$103,A15,'📦 Registro'!$O$4:$O$103,"")</f>
        <v>0</v>
      </c>
      <c r="C15" s="18">
        <f>COUNTIFS('📦 Registro'!$B$4:$B$103,A15,'📦 Registro'!$O$4:$O$103,"&lt;&gt;")</f>
        <v>0</v>
      </c>
      <c r="D15" s="22">
        <f>IFERROR(SUMIF('📦 Registro'!$B$4:$B$103,A15,'📦 Registro'!$N$4:$N$103),0)</f>
        <v>0</v>
      </c>
      <c r="E15" s="22">
        <f>IFERROR(SUMIF('📦 Registro'!$B$4:$B$103,A15,'📦 Registro'!$Q$4:$Q$103),0)</f>
        <v>0</v>
      </c>
      <c r="F15" s="22">
        <f>IFERROR(SUMIF('📦 Registro'!$B$4:$B$103,A15,'📦 Registro'!$S$4:$S$103),0)</f>
        <v>0</v>
      </c>
    </row>
    <row r="16" ht="21.75" customHeight="1">
      <c r="A16" s="71" t="s">
        <v>137</v>
      </c>
      <c r="B16" s="6">
        <f>COUNTIFS('📦 Registro'!$B$4:$B$103,A16,'📦 Registro'!$O$4:$O$103,"")</f>
        <v>0</v>
      </c>
      <c r="C16" s="6">
        <f>COUNTIFS('📦 Registro'!$B$4:$B$103,A16,'📦 Registro'!$O$4:$O$103,"&lt;&gt;")</f>
        <v>0</v>
      </c>
      <c r="D16" s="11">
        <f>IFERROR(SUMIF('📦 Registro'!$B$4:$B$103,A16,'📦 Registro'!$N$4:$N$103),0)</f>
        <v>0</v>
      </c>
      <c r="E16" s="11">
        <f>IFERROR(SUMIF('📦 Registro'!$B$4:$B$103,A16,'📦 Registro'!$Q$4:$Q$103),0)</f>
        <v>0</v>
      </c>
      <c r="F16" s="11">
        <f>IFERROR(SUMIF('📦 Registro'!$B$4:$B$103,A16,'📦 Registro'!$S$4:$S$103),0)</f>
        <v>0</v>
      </c>
    </row>
    <row r="17" ht="21.75" customHeight="1">
      <c r="A17" s="70" t="s">
        <v>21</v>
      </c>
      <c r="B17" s="18">
        <f>COUNTIFS('📦 Registro'!$B$4:$B$103,A17,'📦 Registro'!$O$4:$O$103,"")</f>
        <v>2</v>
      </c>
      <c r="C17" s="18">
        <f>COUNTIFS('📦 Registro'!$B$4:$B$103,A17,'📦 Registro'!$O$4:$O$103,"&lt;&gt;")</f>
        <v>8</v>
      </c>
      <c r="D17" s="22">
        <f>IFERROR(SUMIF('📦 Registro'!$B$4:$B$103,A17,'📦 Registro'!$N$4:$N$103),0)</f>
        <v>1110000</v>
      </c>
      <c r="E17" s="22">
        <f>IFERROR(SUMIF('📦 Registro'!$B$4:$B$103,A17,'📦 Registro'!$Q$4:$Q$103),0)</f>
        <v>1350000</v>
      </c>
      <c r="F17" s="22">
        <f>IFERROR(SUMIF('📦 Registro'!$B$4:$B$103,A17,'📦 Registro'!$S$4:$S$103),0)</f>
        <v>320000</v>
      </c>
    </row>
    <row r="18" ht="21.75" customHeight="1">
      <c r="A18" s="71" t="s">
        <v>99</v>
      </c>
      <c r="B18" s="6">
        <f>COUNTIFS('📦 Registro'!$B$4:$B$103,A18,'📦 Registro'!$O$4:$O$103,"")</f>
        <v>0</v>
      </c>
      <c r="C18" s="6">
        <f>COUNTIFS('📦 Registro'!$B$4:$B$103,A18,'📦 Registro'!$O$4:$O$103,"&lt;&gt;")</f>
        <v>0</v>
      </c>
      <c r="D18" s="11">
        <f>IFERROR(SUMIF('📦 Registro'!$B$4:$B$103,A18,'📦 Registro'!$N$4:$N$103),0)</f>
        <v>0</v>
      </c>
      <c r="E18" s="11">
        <f>IFERROR(SUMIF('📦 Registro'!$B$4:$B$103,A18,'📦 Registro'!$Q$4:$Q$103),0)</f>
        <v>0</v>
      </c>
      <c r="F18" s="11">
        <f>IFERROR(SUMIF('📦 Registro'!$B$4:$B$103,A18,'📦 Registro'!$S$4:$S$103),0)</f>
        <v>0</v>
      </c>
    </row>
    <row r="19">
      <c r="A19" s="38"/>
      <c r="B19" s="38"/>
      <c r="C19" s="38"/>
      <c r="D19" s="38"/>
      <c r="E19" s="38"/>
      <c r="F19" s="38"/>
    </row>
    <row r="20">
      <c r="A20" s="38"/>
      <c r="B20" s="38"/>
      <c r="C20" s="38"/>
      <c r="D20" s="38"/>
      <c r="E20" s="38"/>
      <c r="F20" s="38"/>
    </row>
    <row r="21" ht="15.75" customHeight="1">
      <c r="A21" s="38"/>
      <c r="B21" s="38"/>
      <c r="C21" s="38"/>
      <c r="D21" s="38"/>
      <c r="E21" s="38"/>
      <c r="F21" s="38"/>
    </row>
    <row r="22" ht="15.75" customHeight="1">
      <c r="A22" s="38"/>
      <c r="B22" s="38"/>
      <c r="C22" s="38"/>
      <c r="D22" s="38"/>
      <c r="E22" s="38"/>
      <c r="F22" s="38"/>
    </row>
    <row r="23" ht="15.75" customHeight="1">
      <c r="A23" s="38"/>
      <c r="B23" s="38"/>
      <c r="C23" s="38"/>
      <c r="D23" s="38"/>
      <c r="E23" s="38"/>
      <c r="F23" s="38"/>
    </row>
    <row r="24" ht="15.75" customHeight="1">
      <c r="A24" s="38"/>
      <c r="B24" s="38"/>
      <c r="C24" s="38"/>
      <c r="D24" s="38"/>
      <c r="E24" s="38"/>
      <c r="F24" s="38"/>
    </row>
    <row r="25" ht="15.75" customHeight="1">
      <c r="A25" s="38"/>
      <c r="B25" s="38"/>
      <c r="C25" s="38"/>
      <c r="D25" s="38"/>
      <c r="E25" s="38"/>
      <c r="F25" s="38"/>
    </row>
    <row r="26" ht="15.75" customHeight="1">
      <c r="A26" s="38"/>
      <c r="B26" s="38"/>
      <c r="C26" s="38"/>
      <c r="D26" s="38"/>
      <c r="E26" s="38"/>
      <c r="F26" s="38"/>
    </row>
    <row r="27" ht="15.75" customHeight="1">
      <c r="A27" s="38"/>
      <c r="B27" s="38"/>
      <c r="C27" s="38"/>
      <c r="D27" s="38"/>
      <c r="E27" s="38"/>
      <c r="F27" s="38"/>
    </row>
    <row r="28" ht="15.75" customHeight="1">
      <c r="A28" s="38"/>
      <c r="B28" s="38"/>
      <c r="C28" s="38"/>
      <c r="D28" s="38"/>
      <c r="E28" s="38"/>
      <c r="F28" s="38"/>
    </row>
    <row r="29" ht="15.75" customHeight="1">
      <c r="A29" s="38"/>
      <c r="B29" s="38"/>
      <c r="C29" s="38"/>
      <c r="D29" s="38"/>
      <c r="E29" s="38"/>
      <c r="F29" s="38"/>
    </row>
    <row r="30" ht="15.75" customHeight="1">
      <c r="A30" s="38"/>
      <c r="B30" s="38"/>
      <c r="C30" s="38"/>
      <c r="D30" s="38"/>
      <c r="E30" s="38"/>
      <c r="F30" s="38"/>
    </row>
    <row r="31" ht="15.75" customHeight="1">
      <c r="A31" s="38"/>
      <c r="B31" s="38"/>
      <c r="C31" s="38"/>
      <c r="D31" s="38"/>
      <c r="E31" s="38"/>
      <c r="F31" s="38"/>
    </row>
    <row r="32" ht="15.75" customHeight="1">
      <c r="A32" s="38"/>
      <c r="B32" s="38"/>
      <c r="C32" s="38"/>
      <c r="D32" s="38"/>
      <c r="E32" s="38"/>
      <c r="F32" s="38"/>
    </row>
    <row r="33" ht="15.75" customHeight="1">
      <c r="A33" s="38"/>
      <c r="B33" s="38"/>
      <c r="C33" s="38"/>
      <c r="D33" s="38"/>
      <c r="E33" s="38"/>
      <c r="F33" s="38"/>
    </row>
    <row r="34" ht="15.75" customHeight="1">
      <c r="A34" s="38"/>
      <c r="B34" s="38"/>
      <c r="C34" s="38"/>
      <c r="D34" s="38"/>
      <c r="E34" s="38"/>
      <c r="F34" s="38"/>
    </row>
    <row r="35" ht="15.75" customHeight="1">
      <c r="A35" s="38"/>
      <c r="B35" s="38"/>
      <c r="C35" s="38"/>
      <c r="D35" s="38"/>
      <c r="E35" s="38"/>
      <c r="F35" s="38"/>
    </row>
    <row r="36" ht="15.75" customHeight="1">
      <c r="A36" s="38"/>
      <c r="B36" s="38"/>
      <c r="C36" s="38"/>
      <c r="D36" s="38"/>
      <c r="E36" s="38"/>
      <c r="F36" s="38"/>
    </row>
    <row r="37" ht="15.75" customHeight="1">
      <c r="A37" s="38"/>
      <c r="B37" s="38"/>
      <c r="C37" s="38"/>
      <c r="D37" s="38"/>
      <c r="E37" s="38"/>
      <c r="F37" s="38"/>
    </row>
    <row r="38" ht="15.75" customHeight="1">
      <c r="A38" s="38"/>
      <c r="B38" s="38"/>
      <c r="C38" s="38"/>
      <c r="D38" s="38"/>
      <c r="E38" s="38"/>
      <c r="F38" s="38"/>
    </row>
    <row r="39" ht="15.75" customHeight="1">
      <c r="A39" s="38"/>
      <c r="B39" s="38"/>
      <c r="C39" s="38"/>
      <c r="D39" s="38"/>
      <c r="E39" s="38"/>
      <c r="F39" s="38"/>
    </row>
    <row r="40" ht="15.75" customHeight="1">
      <c r="A40" s="38"/>
      <c r="B40" s="38"/>
      <c r="C40" s="38"/>
      <c r="D40" s="38"/>
      <c r="E40" s="38"/>
      <c r="F40" s="38"/>
    </row>
    <row r="41" ht="15.75" customHeight="1">
      <c r="A41" s="38"/>
      <c r="B41" s="38"/>
      <c r="C41" s="38"/>
      <c r="D41" s="38"/>
      <c r="E41" s="38"/>
      <c r="F41" s="38"/>
    </row>
    <row r="42" ht="15.75" customHeight="1">
      <c r="A42" s="38"/>
      <c r="B42" s="38"/>
      <c r="C42" s="38"/>
      <c r="D42" s="38"/>
      <c r="E42" s="38"/>
      <c r="F42" s="38"/>
    </row>
    <row r="43" ht="15.75" customHeight="1">
      <c r="A43" s="38"/>
      <c r="B43" s="38"/>
      <c r="C43" s="38"/>
      <c r="D43" s="38"/>
      <c r="E43" s="38"/>
      <c r="F43" s="38"/>
    </row>
    <row r="44" ht="15.75" customHeight="1">
      <c r="A44" s="38"/>
      <c r="B44" s="38"/>
      <c r="C44" s="38"/>
      <c r="D44" s="38"/>
      <c r="E44" s="38"/>
      <c r="F44" s="38"/>
    </row>
    <row r="45" ht="15.75" customHeight="1">
      <c r="A45" s="38"/>
      <c r="B45" s="38"/>
      <c r="C45" s="38"/>
      <c r="D45" s="38"/>
      <c r="E45" s="38"/>
      <c r="F45" s="38"/>
    </row>
    <row r="46" ht="15.75" customHeight="1">
      <c r="A46" s="38"/>
      <c r="B46" s="38"/>
      <c r="C46" s="38"/>
      <c r="D46" s="38"/>
      <c r="E46" s="38"/>
      <c r="F46" s="38"/>
    </row>
    <row r="47" ht="15.75" customHeight="1">
      <c r="A47" s="38"/>
      <c r="B47" s="38"/>
      <c r="C47" s="38"/>
      <c r="D47" s="38"/>
      <c r="E47" s="38"/>
      <c r="F47" s="38"/>
    </row>
    <row r="48" ht="15.75" customHeight="1">
      <c r="A48" s="38"/>
      <c r="B48" s="38"/>
      <c r="C48" s="38"/>
      <c r="D48" s="38"/>
      <c r="E48" s="38"/>
      <c r="F48" s="38"/>
    </row>
    <row r="49" ht="15.75" customHeight="1">
      <c r="A49" s="38"/>
      <c r="B49" s="38"/>
      <c r="C49" s="38"/>
      <c r="D49" s="38"/>
      <c r="E49" s="38"/>
      <c r="F49" s="38"/>
    </row>
    <row r="50" ht="15.75" customHeight="1">
      <c r="A50" s="38"/>
      <c r="B50" s="38"/>
      <c r="C50" s="38"/>
      <c r="D50" s="38"/>
      <c r="E50" s="38"/>
      <c r="F50" s="38"/>
    </row>
    <row r="51" ht="15.75" customHeight="1">
      <c r="A51" s="38"/>
      <c r="B51" s="38"/>
      <c r="C51" s="38"/>
      <c r="D51" s="38"/>
      <c r="E51" s="38"/>
      <c r="F51" s="38"/>
    </row>
    <row r="52" ht="15.75" customHeight="1">
      <c r="A52" s="38"/>
      <c r="B52" s="38"/>
      <c r="C52" s="38"/>
      <c r="D52" s="38"/>
      <c r="E52" s="38"/>
      <c r="F52" s="38"/>
    </row>
    <row r="53" ht="15.75" customHeight="1">
      <c r="A53" s="38"/>
      <c r="B53" s="38"/>
      <c r="C53" s="38"/>
      <c r="D53" s="38"/>
      <c r="E53" s="38"/>
      <c r="F53" s="38"/>
    </row>
    <row r="54" ht="15.75" customHeight="1">
      <c r="A54" s="38"/>
      <c r="B54" s="38"/>
      <c r="C54" s="38"/>
      <c r="D54" s="38"/>
      <c r="E54" s="38"/>
      <c r="F54" s="38"/>
    </row>
    <row r="55" ht="15.75" customHeight="1">
      <c r="A55" s="38"/>
      <c r="B55" s="38"/>
      <c r="C55" s="38"/>
      <c r="D55" s="38"/>
      <c r="E55" s="38"/>
      <c r="F55" s="38"/>
    </row>
    <row r="56" ht="15.75" customHeight="1">
      <c r="A56" s="38"/>
      <c r="B56" s="38"/>
      <c r="C56" s="38"/>
      <c r="D56" s="38"/>
      <c r="E56" s="38"/>
      <c r="F56" s="38"/>
    </row>
    <row r="57" ht="15.75" customHeight="1">
      <c r="A57" s="38"/>
      <c r="B57" s="38"/>
      <c r="C57" s="38"/>
      <c r="D57" s="38"/>
      <c r="E57" s="38"/>
      <c r="F57" s="38"/>
    </row>
    <row r="58" ht="15.75" customHeight="1">
      <c r="A58" s="38"/>
      <c r="B58" s="38"/>
      <c r="C58" s="38"/>
      <c r="D58" s="38"/>
      <c r="E58" s="38"/>
      <c r="F58" s="38"/>
    </row>
    <row r="59" ht="15.75" customHeight="1">
      <c r="A59" s="38"/>
      <c r="B59" s="38"/>
      <c r="C59" s="38"/>
      <c r="D59" s="38"/>
      <c r="E59" s="38"/>
      <c r="F59" s="38"/>
    </row>
    <row r="60" ht="15.75" customHeight="1">
      <c r="A60" s="38"/>
      <c r="B60" s="38"/>
      <c r="C60" s="38"/>
      <c r="D60" s="38"/>
      <c r="E60" s="38"/>
      <c r="F60" s="38"/>
    </row>
    <row r="61" ht="15.75" customHeight="1">
      <c r="A61" s="38"/>
      <c r="B61" s="38"/>
      <c r="C61" s="38"/>
      <c r="D61" s="38"/>
      <c r="E61" s="38"/>
      <c r="F61" s="38"/>
    </row>
    <row r="62" ht="15.75" customHeight="1">
      <c r="A62" s="38"/>
      <c r="B62" s="38"/>
      <c r="C62" s="38"/>
      <c r="D62" s="38"/>
      <c r="E62" s="38"/>
      <c r="F62" s="38"/>
    </row>
    <row r="63" ht="15.75" customHeight="1">
      <c r="A63" s="38"/>
      <c r="B63" s="38"/>
      <c r="C63" s="38"/>
      <c r="D63" s="38"/>
      <c r="E63" s="38"/>
      <c r="F63" s="38"/>
    </row>
    <row r="64" ht="15.75" customHeight="1">
      <c r="A64" s="38"/>
      <c r="B64" s="38"/>
      <c r="C64" s="38"/>
      <c r="D64" s="38"/>
      <c r="E64" s="38"/>
      <c r="F64" s="38"/>
    </row>
    <row r="65" ht="15.75" customHeight="1">
      <c r="A65" s="38"/>
      <c r="B65" s="38"/>
      <c r="C65" s="38"/>
      <c r="D65" s="38"/>
      <c r="E65" s="38"/>
      <c r="F65" s="38"/>
    </row>
    <row r="66" ht="15.75" customHeight="1">
      <c r="A66" s="38"/>
      <c r="B66" s="38"/>
      <c r="C66" s="38"/>
      <c r="D66" s="38"/>
      <c r="E66" s="38"/>
      <c r="F66" s="38"/>
    </row>
    <row r="67" ht="15.75" customHeight="1">
      <c r="A67" s="38"/>
      <c r="B67" s="38"/>
      <c r="C67" s="38"/>
      <c r="D67" s="38"/>
      <c r="E67" s="38"/>
      <c r="F67" s="38"/>
    </row>
    <row r="68" ht="15.75" customHeight="1">
      <c r="A68" s="38"/>
      <c r="B68" s="38"/>
      <c r="C68" s="38"/>
      <c r="D68" s="38"/>
      <c r="E68" s="38"/>
      <c r="F68" s="38"/>
    </row>
    <row r="69" ht="15.75" customHeight="1">
      <c r="A69" s="38"/>
      <c r="B69" s="38"/>
      <c r="C69" s="38"/>
      <c r="D69" s="38"/>
      <c r="E69" s="38"/>
      <c r="F69" s="38"/>
    </row>
    <row r="70" ht="15.75" customHeight="1">
      <c r="A70" s="38"/>
      <c r="B70" s="38"/>
      <c r="C70" s="38"/>
      <c r="D70" s="38"/>
      <c r="E70" s="38"/>
      <c r="F70" s="38"/>
    </row>
    <row r="71" ht="15.75" customHeight="1">
      <c r="A71" s="38"/>
      <c r="B71" s="38"/>
      <c r="C71" s="38"/>
      <c r="D71" s="38"/>
      <c r="E71" s="38"/>
      <c r="F71" s="38"/>
    </row>
    <row r="72" ht="15.75" customHeight="1">
      <c r="A72" s="38"/>
      <c r="B72" s="38"/>
      <c r="C72" s="38"/>
      <c r="D72" s="38"/>
      <c r="E72" s="38"/>
      <c r="F72" s="38"/>
    </row>
    <row r="73" ht="15.75" customHeight="1">
      <c r="A73" s="38"/>
      <c r="B73" s="38"/>
      <c r="C73" s="38"/>
      <c r="D73" s="38"/>
      <c r="E73" s="38"/>
      <c r="F73" s="38"/>
    </row>
    <row r="74" ht="15.75" customHeight="1">
      <c r="A74" s="38"/>
      <c r="B74" s="38"/>
      <c r="C74" s="38"/>
      <c r="D74" s="38"/>
      <c r="E74" s="38"/>
      <c r="F74" s="38"/>
    </row>
    <row r="75" ht="15.75" customHeight="1">
      <c r="A75" s="38"/>
      <c r="B75" s="38"/>
      <c r="C75" s="38"/>
      <c r="D75" s="38"/>
      <c r="E75" s="38"/>
      <c r="F75" s="38"/>
    </row>
    <row r="76" ht="15.75" customHeight="1">
      <c r="A76" s="38"/>
      <c r="B76" s="38"/>
      <c r="C76" s="38"/>
      <c r="D76" s="38"/>
      <c r="E76" s="38"/>
      <c r="F76" s="38"/>
    </row>
    <row r="77" ht="15.75" customHeight="1">
      <c r="A77" s="38"/>
      <c r="B77" s="38"/>
      <c r="C77" s="38"/>
      <c r="D77" s="38"/>
      <c r="E77" s="38"/>
      <c r="F77" s="38"/>
    </row>
    <row r="78" ht="15.75" customHeight="1">
      <c r="A78" s="38"/>
      <c r="B78" s="38"/>
      <c r="C78" s="38"/>
      <c r="D78" s="38"/>
      <c r="E78" s="38"/>
      <c r="F78" s="38"/>
    </row>
    <row r="79" ht="15.75" customHeight="1">
      <c r="A79" s="38"/>
      <c r="B79" s="38"/>
      <c r="C79" s="38"/>
      <c r="D79" s="38"/>
      <c r="E79" s="38"/>
      <c r="F79" s="38"/>
    </row>
    <row r="80" ht="15.75" customHeight="1">
      <c r="A80" s="38"/>
      <c r="B80" s="38"/>
      <c r="C80" s="38"/>
      <c r="D80" s="38"/>
      <c r="E80" s="38"/>
      <c r="F80" s="38"/>
    </row>
    <row r="81" ht="15.75" customHeight="1">
      <c r="A81" s="38"/>
      <c r="B81" s="38"/>
      <c r="C81" s="38"/>
      <c r="D81" s="38"/>
      <c r="E81" s="38"/>
      <c r="F81" s="38"/>
    </row>
    <row r="82" ht="15.75" customHeight="1">
      <c r="A82" s="38"/>
      <c r="B82" s="38"/>
      <c r="C82" s="38"/>
      <c r="D82" s="38"/>
      <c r="E82" s="38"/>
      <c r="F82" s="38"/>
    </row>
    <row r="83" ht="15.75" customHeight="1">
      <c r="A83" s="38"/>
      <c r="B83" s="38"/>
      <c r="C83" s="38"/>
      <c r="D83" s="38"/>
      <c r="E83" s="38"/>
      <c r="F83" s="38"/>
    </row>
    <row r="84" ht="15.75" customHeight="1">
      <c r="A84" s="38"/>
      <c r="B84" s="38"/>
      <c r="C84" s="38"/>
      <c r="D84" s="38"/>
      <c r="E84" s="38"/>
      <c r="F84" s="38"/>
    </row>
    <row r="85" ht="15.75" customHeight="1">
      <c r="A85" s="38"/>
      <c r="B85" s="38"/>
      <c r="C85" s="38"/>
      <c r="D85" s="38"/>
      <c r="E85" s="38"/>
      <c r="F85" s="38"/>
    </row>
    <row r="86" ht="15.75" customHeight="1">
      <c r="A86" s="38"/>
      <c r="B86" s="38"/>
      <c r="C86" s="38"/>
      <c r="D86" s="38"/>
      <c r="E86" s="38"/>
      <c r="F86" s="38"/>
    </row>
    <row r="87" ht="15.75" customHeight="1">
      <c r="A87" s="38"/>
      <c r="B87" s="38"/>
      <c r="C87" s="38"/>
      <c r="D87" s="38"/>
      <c r="E87" s="38"/>
      <c r="F87" s="38"/>
    </row>
    <row r="88" ht="15.75" customHeight="1">
      <c r="A88" s="38"/>
      <c r="B88" s="38"/>
      <c r="C88" s="38"/>
      <c r="D88" s="38"/>
      <c r="E88" s="38"/>
      <c r="F88" s="38"/>
    </row>
    <row r="89" ht="15.75" customHeight="1">
      <c r="A89" s="38"/>
      <c r="B89" s="38"/>
      <c r="C89" s="38"/>
      <c r="D89" s="38"/>
      <c r="E89" s="38"/>
      <c r="F89" s="38"/>
    </row>
    <row r="90" ht="15.75" customHeight="1">
      <c r="A90" s="38"/>
      <c r="B90" s="38"/>
      <c r="C90" s="38"/>
      <c r="D90" s="38"/>
      <c r="E90" s="38"/>
      <c r="F90" s="38"/>
    </row>
    <row r="91" ht="15.75" customHeight="1">
      <c r="A91" s="38"/>
      <c r="B91" s="38"/>
      <c r="C91" s="38"/>
      <c r="D91" s="38"/>
      <c r="E91" s="38"/>
      <c r="F91" s="38"/>
    </row>
    <row r="92" ht="15.75" customHeight="1">
      <c r="A92" s="38"/>
      <c r="B92" s="38"/>
      <c r="C92" s="38"/>
      <c r="D92" s="38"/>
      <c r="E92" s="38"/>
      <c r="F92" s="38"/>
    </row>
    <row r="93" ht="15.75" customHeight="1">
      <c r="A93" s="38"/>
      <c r="B93" s="38"/>
      <c r="C93" s="38"/>
      <c r="D93" s="38"/>
      <c r="E93" s="38"/>
      <c r="F93" s="38"/>
    </row>
    <row r="94" ht="15.75" customHeight="1">
      <c r="A94" s="38"/>
      <c r="B94" s="38"/>
      <c r="C94" s="38"/>
      <c r="D94" s="38"/>
      <c r="E94" s="38"/>
      <c r="F94" s="38"/>
    </row>
    <row r="95" ht="15.75" customHeight="1">
      <c r="A95" s="38"/>
      <c r="B95" s="38"/>
      <c r="C95" s="38"/>
      <c r="D95" s="38"/>
      <c r="E95" s="38"/>
      <c r="F95" s="38"/>
    </row>
    <row r="96" ht="15.75" customHeight="1">
      <c r="A96" s="38"/>
      <c r="B96" s="38"/>
      <c r="C96" s="38"/>
      <c r="D96" s="38"/>
      <c r="E96" s="38"/>
      <c r="F96" s="38"/>
    </row>
    <row r="97" ht="15.75" customHeight="1">
      <c r="A97" s="38"/>
      <c r="B97" s="38"/>
      <c r="C97" s="38"/>
      <c r="D97" s="38"/>
      <c r="E97" s="38"/>
      <c r="F97" s="38"/>
    </row>
    <row r="98" ht="15.75" customHeight="1">
      <c r="A98" s="38"/>
      <c r="B98" s="38"/>
      <c r="C98" s="38"/>
      <c r="D98" s="38"/>
      <c r="E98" s="38"/>
      <c r="F98" s="38"/>
    </row>
    <row r="99" ht="15.75" customHeight="1">
      <c r="A99" s="38"/>
      <c r="B99" s="38"/>
      <c r="C99" s="38"/>
      <c r="D99" s="38"/>
      <c r="E99" s="38"/>
      <c r="F99" s="38"/>
    </row>
    <row r="100" ht="15.75" customHeight="1">
      <c r="A100" s="38"/>
      <c r="B100" s="38"/>
      <c r="C100" s="38"/>
      <c r="D100" s="38"/>
      <c r="E100" s="38"/>
      <c r="F100" s="38"/>
    </row>
    <row r="101" ht="15.75" customHeight="1">
      <c r="A101" s="38"/>
      <c r="B101" s="38"/>
      <c r="C101" s="38"/>
      <c r="D101" s="38"/>
      <c r="E101" s="38"/>
      <c r="F101" s="38"/>
    </row>
    <row r="102" ht="15.75" customHeight="1">
      <c r="A102" s="38"/>
      <c r="B102" s="38"/>
      <c r="C102" s="38"/>
      <c r="D102" s="38"/>
      <c r="E102" s="38"/>
      <c r="F102" s="38"/>
    </row>
    <row r="103" ht="15.75" customHeight="1">
      <c r="A103" s="38"/>
      <c r="B103" s="38"/>
      <c r="C103" s="38"/>
      <c r="D103" s="38"/>
      <c r="E103" s="38"/>
      <c r="F103" s="38"/>
    </row>
    <row r="104" ht="15.75" customHeight="1">
      <c r="A104" s="38"/>
      <c r="B104" s="38"/>
      <c r="C104" s="38"/>
      <c r="D104" s="38"/>
      <c r="E104" s="38"/>
      <c r="F104" s="38"/>
    </row>
    <row r="105" ht="15.75" customHeight="1">
      <c r="A105" s="38"/>
      <c r="B105" s="38"/>
      <c r="C105" s="38"/>
      <c r="D105" s="38"/>
      <c r="E105" s="38"/>
      <c r="F105" s="38"/>
    </row>
    <row r="106" ht="15.75" customHeight="1">
      <c r="A106" s="38"/>
      <c r="B106" s="38"/>
      <c r="C106" s="38"/>
      <c r="D106" s="38"/>
      <c r="E106" s="38"/>
      <c r="F106" s="38"/>
    </row>
    <row r="107" ht="15.75" customHeight="1">
      <c r="A107" s="38"/>
      <c r="B107" s="38"/>
      <c r="C107" s="38"/>
      <c r="D107" s="38"/>
      <c r="E107" s="38"/>
      <c r="F107" s="38"/>
    </row>
    <row r="108" ht="15.75" customHeight="1">
      <c r="A108" s="38"/>
      <c r="B108" s="38"/>
      <c r="C108" s="38"/>
      <c r="D108" s="38"/>
      <c r="E108" s="38"/>
      <c r="F108" s="38"/>
    </row>
    <row r="109" ht="15.75" customHeight="1">
      <c r="A109" s="38"/>
      <c r="B109" s="38"/>
      <c r="C109" s="38"/>
      <c r="D109" s="38"/>
      <c r="E109" s="38"/>
      <c r="F109" s="38"/>
    </row>
    <row r="110" ht="15.75" customHeight="1">
      <c r="A110" s="38"/>
      <c r="B110" s="38"/>
      <c r="C110" s="38"/>
      <c r="D110" s="38"/>
      <c r="E110" s="38"/>
      <c r="F110" s="38"/>
    </row>
    <row r="111" ht="15.75" customHeight="1">
      <c r="A111" s="38"/>
      <c r="B111" s="38"/>
      <c r="C111" s="38"/>
      <c r="D111" s="38"/>
      <c r="E111" s="38"/>
      <c r="F111" s="38"/>
    </row>
    <row r="112" ht="15.75" customHeight="1">
      <c r="A112" s="38"/>
      <c r="B112" s="38"/>
      <c r="C112" s="38"/>
      <c r="D112" s="38"/>
      <c r="E112" s="38"/>
      <c r="F112" s="38"/>
    </row>
    <row r="113" ht="15.75" customHeight="1">
      <c r="A113" s="38"/>
      <c r="B113" s="38"/>
      <c r="C113" s="38"/>
      <c r="D113" s="38"/>
      <c r="E113" s="38"/>
      <c r="F113" s="38"/>
    </row>
    <row r="114" ht="15.75" customHeight="1">
      <c r="A114" s="38"/>
      <c r="B114" s="38"/>
      <c r="C114" s="38"/>
      <c r="D114" s="38"/>
      <c r="E114" s="38"/>
      <c r="F114" s="38"/>
    </row>
    <row r="115" ht="15.75" customHeight="1">
      <c r="A115" s="38"/>
      <c r="B115" s="38"/>
      <c r="C115" s="38"/>
      <c r="D115" s="38"/>
      <c r="E115" s="38"/>
      <c r="F115" s="38"/>
    </row>
    <row r="116" ht="15.75" customHeight="1">
      <c r="A116" s="38"/>
      <c r="B116" s="38"/>
      <c r="C116" s="38"/>
      <c r="D116" s="38"/>
      <c r="E116" s="38"/>
      <c r="F116" s="38"/>
    </row>
    <row r="117" ht="15.75" customHeight="1">
      <c r="A117" s="38"/>
      <c r="B117" s="38"/>
      <c r="C117" s="38"/>
      <c r="D117" s="38"/>
      <c r="E117" s="38"/>
      <c r="F117" s="38"/>
    </row>
    <row r="118" ht="15.75" customHeight="1">
      <c r="A118" s="38"/>
      <c r="B118" s="38"/>
      <c r="C118" s="38"/>
      <c r="D118" s="38"/>
      <c r="E118" s="38"/>
      <c r="F118" s="38"/>
    </row>
    <row r="119" ht="15.75" customHeight="1">
      <c r="A119" s="38"/>
      <c r="B119" s="38"/>
      <c r="C119" s="38"/>
      <c r="D119" s="38"/>
      <c r="E119" s="38"/>
      <c r="F119" s="38"/>
    </row>
    <row r="120" ht="15.75" customHeight="1">
      <c r="A120" s="38"/>
      <c r="B120" s="38"/>
      <c r="C120" s="38"/>
      <c r="D120" s="38"/>
      <c r="E120" s="38"/>
      <c r="F120" s="38"/>
    </row>
    <row r="121" ht="15.75" customHeight="1">
      <c r="A121" s="38"/>
      <c r="B121" s="38"/>
      <c r="C121" s="38"/>
      <c r="D121" s="38"/>
      <c r="E121" s="38"/>
      <c r="F121" s="38"/>
    </row>
    <row r="122" ht="15.75" customHeight="1">
      <c r="A122" s="38"/>
      <c r="B122" s="38"/>
      <c r="C122" s="38"/>
      <c r="D122" s="38"/>
      <c r="E122" s="38"/>
      <c r="F122" s="38"/>
    </row>
    <row r="123" ht="15.75" customHeight="1">
      <c r="A123" s="38"/>
      <c r="B123" s="38"/>
      <c r="C123" s="38"/>
      <c r="D123" s="38"/>
      <c r="E123" s="38"/>
      <c r="F123" s="38"/>
    </row>
    <row r="124" ht="15.75" customHeight="1">
      <c r="A124" s="38"/>
      <c r="B124" s="38"/>
      <c r="C124" s="38"/>
      <c r="D124" s="38"/>
      <c r="E124" s="38"/>
      <c r="F124" s="38"/>
    </row>
    <row r="125" ht="15.75" customHeight="1">
      <c r="A125" s="38"/>
      <c r="B125" s="38"/>
      <c r="C125" s="38"/>
      <c r="D125" s="38"/>
      <c r="E125" s="38"/>
      <c r="F125" s="38"/>
    </row>
    <row r="126" ht="15.75" customHeight="1">
      <c r="A126" s="38"/>
      <c r="B126" s="38"/>
      <c r="C126" s="38"/>
      <c r="D126" s="38"/>
      <c r="E126" s="38"/>
      <c r="F126" s="38"/>
    </row>
    <row r="127" ht="15.75" customHeight="1">
      <c r="A127" s="38"/>
      <c r="B127" s="38"/>
      <c r="C127" s="38"/>
      <c r="D127" s="38"/>
      <c r="E127" s="38"/>
      <c r="F127" s="38"/>
    </row>
    <row r="128" ht="15.75" customHeight="1">
      <c r="A128" s="38"/>
      <c r="B128" s="38"/>
      <c r="C128" s="38"/>
      <c r="D128" s="38"/>
      <c r="E128" s="38"/>
      <c r="F128" s="38"/>
    </row>
    <row r="129" ht="15.75" customHeight="1">
      <c r="A129" s="38"/>
      <c r="B129" s="38"/>
      <c r="C129" s="38"/>
      <c r="D129" s="38"/>
      <c r="E129" s="38"/>
      <c r="F129" s="38"/>
    </row>
    <row r="130" ht="15.75" customHeight="1">
      <c r="A130" s="38"/>
      <c r="B130" s="38"/>
      <c r="C130" s="38"/>
      <c r="D130" s="38"/>
      <c r="E130" s="38"/>
      <c r="F130" s="38"/>
    </row>
    <row r="131" ht="15.75" customHeight="1">
      <c r="A131" s="38"/>
      <c r="B131" s="38"/>
      <c r="C131" s="38"/>
      <c r="D131" s="38"/>
      <c r="E131" s="38"/>
      <c r="F131" s="38"/>
    </row>
    <row r="132" ht="15.75" customHeight="1">
      <c r="A132" s="38"/>
      <c r="B132" s="38"/>
      <c r="C132" s="38"/>
      <c r="D132" s="38"/>
      <c r="E132" s="38"/>
      <c r="F132" s="38"/>
    </row>
    <row r="133" ht="15.75" customHeight="1">
      <c r="A133" s="38"/>
      <c r="B133" s="38"/>
      <c r="C133" s="38"/>
      <c r="D133" s="38"/>
      <c r="E133" s="38"/>
      <c r="F133" s="38"/>
    </row>
    <row r="134" ht="15.75" customHeight="1">
      <c r="A134" s="38"/>
      <c r="B134" s="38"/>
      <c r="C134" s="38"/>
      <c r="D134" s="38"/>
      <c r="E134" s="38"/>
      <c r="F134" s="38"/>
    </row>
    <row r="135" ht="15.75" customHeight="1">
      <c r="A135" s="38"/>
      <c r="B135" s="38"/>
      <c r="C135" s="38"/>
      <c r="D135" s="38"/>
      <c r="E135" s="38"/>
      <c r="F135" s="38"/>
    </row>
    <row r="136" ht="15.75" customHeight="1">
      <c r="A136" s="38"/>
      <c r="B136" s="38"/>
      <c r="C136" s="38"/>
      <c r="D136" s="38"/>
      <c r="E136" s="38"/>
      <c r="F136" s="38"/>
    </row>
    <row r="137" ht="15.75" customHeight="1">
      <c r="A137" s="38"/>
      <c r="B137" s="38"/>
      <c r="C137" s="38"/>
      <c r="D137" s="38"/>
      <c r="E137" s="38"/>
      <c r="F137" s="38"/>
    </row>
    <row r="138" ht="15.75" customHeight="1">
      <c r="A138" s="38"/>
      <c r="B138" s="38"/>
      <c r="C138" s="38"/>
      <c r="D138" s="38"/>
      <c r="E138" s="38"/>
      <c r="F138" s="38"/>
    </row>
    <row r="139" ht="15.75" customHeight="1">
      <c r="A139" s="38"/>
      <c r="B139" s="38"/>
      <c r="C139" s="38"/>
      <c r="D139" s="38"/>
      <c r="E139" s="38"/>
      <c r="F139" s="38"/>
    </row>
    <row r="140" ht="15.75" customHeight="1">
      <c r="A140" s="38"/>
      <c r="B140" s="38"/>
      <c r="C140" s="38"/>
      <c r="D140" s="38"/>
      <c r="E140" s="38"/>
      <c r="F140" s="38"/>
    </row>
    <row r="141" ht="15.75" customHeight="1">
      <c r="A141" s="38"/>
      <c r="B141" s="38"/>
      <c r="C141" s="38"/>
      <c r="D141" s="38"/>
      <c r="E141" s="38"/>
      <c r="F141" s="38"/>
    </row>
    <row r="142" ht="15.75" customHeight="1">
      <c r="A142" s="38"/>
      <c r="B142" s="38"/>
      <c r="C142" s="38"/>
      <c r="D142" s="38"/>
      <c r="E142" s="38"/>
      <c r="F142" s="38"/>
    </row>
    <row r="143" ht="15.75" customHeight="1">
      <c r="A143" s="38"/>
      <c r="B143" s="38"/>
      <c r="C143" s="38"/>
      <c r="D143" s="38"/>
      <c r="E143" s="38"/>
      <c r="F143" s="38"/>
    </row>
    <row r="144" ht="15.75" customHeight="1">
      <c r="A144" s="38"/>
      <c r="B144" s="38"/>
      <c r="C144" s="38"/>
      <c r="D144" s="38"/>
      <c r="E144" s="38"/>
      <c r="F144" s="38"/>
    </row>
    <row r="145" ht="15.75" customHeight="1">
      <c r="A145" s="38"/>
      <c r="B145" s="38"/>
      <c r="C145" s="38"/>
      <c r="D145" s="38"/>
      <c r="E145" s="38"/>
      <c r="F145" s="38"/>
    </row>
    <row r="146" ht="15.75" customHeight="1">
      <c r="A146" s="38"/>
      <c r="B146" s="38"/>
      <c r="C146" s="38"/>
      <c r="D146" s="38"/>
      <c r="E146" s="38"/>
      <c r="F146" s="38"/>
    </row>
    <row r="147" ht="15.75" customHeight="1">
      <c r="A147" s="38"/>
      <c r="B147" s="38"/>
      <c r="C147" s="38"/>
      <c r="D147" s="38"/>
      <c r="E147" s="38"/>
      <c r="F147" s="38"/>
    </row>
    <row r="148" ht="15.75" customHeight="1">
      <c r="A148" s="38"/>
      <c r="B148" s="38"/>
      <c r="C148" s="38"/>
      <c r="D148" s="38"/>
      <c r="E148" s="38"/>
      <c r="F148" s="38"/>
    </row>
    <row r="149" ht="15.75" customHeight="1">
      <c r="A149" s="38"/>
      <c r="B149" s="38"/>
      <c r="C149" s="38"/>
      <c r="D149" s="38"/>
      <c r="E149" s="38"/>
      <c r="F149" s="38"/>
    </row>
    <row r="150" ht="15.75" customHeight="1">
      <c r="A150" s="38"/>
      <c r="B150" s="38"/>
      <c r="C150" s="38"/>
      <c r="D150" s="38"/>
      <c r="E150" s="38"/>
      <c r="F150" s="38"/>
    </row>
    <row r="151" ht="15.75" customHeight="1">
      <c r="A151" s="38"/>
      <c r="B151" s="38"/>
      <c r="C151" s="38"/>
      <c r="D151" s="38"/>
      <c r="E151" s="38"/>
      <c r="F151" s="38"/>
    </row>
    <row r="152" ht="15.75" customHeight="1">
      <c r="A152" s="38"/>
      <c r="B152" s="38"/>
      <c r="C152" s="38"/>
      <c r="D152" s="38"/>
      <c r="E152" s="38"/>
      <c r="F152" s="38"/>
    </row>
    <row r="153" ht="15.75" customHeight="1">
      <c r="A153" s="38"/>
      <c r="B153" s="38"/>
      <c r="C153" s="38"/>
      <c r="D153" s="38"/>
      <c r="E153" s="38"/>
      <c r="F153" s="38"/>
    </row>
    <row r="154" ht="15.75" customHeight="1">
      <c r="A154" s="38"/>
      <c r="B154" s="38"/>
      <c r="C154" s="38"/>
      <c r="D154" s="38"/>
      <c r="E154" s="38"/>
      <c r="F154" s="38"/>
    </row>
    <row r="155" ht="15.75" customHeight="1">
      <c r="A155" s="38"/>
      <c r="B155" s="38"/>
      <c r="C155" s="38"/>
      <c r="D155" s="38"/>
      <c r="E155" s="38"/>
      <c r="F155" s="38"/>
    </row>
    <row r="156" ht="15.75" customHeight="1">
      <c r="A156" s="38"/>
      <c r="B156" s="38"/>
      <c r="C156" s="38"/>
      <c r="D156" s="38"/>
      <c r="E156" s="38"/>
      <c r="F156" s="38"/>
    </row>
    <row r="157" ht="15.75" customHeight="1">
      <c r="A157" s="38"/>
      <c r="B157" s="38"/>
      <c r="C157" s="38"/>
      <c r="D157" s="38"/>
      <c r="E157" s="38"/>
      <c r="F157" s="38"/>
    </row>
    <row r="158" ht="15.75" customHeight="1">
      <c r="A158" s="38"/>
      <c r="B158" s="38"/>
      <c r="C158" s="38"/>
      <c r="D158" s="38"/>
      <c r="E158" s="38"/>
      <c r="F158" s="38"/>
    </row>
    <row r="159" ht="15.75" customHeight="1">
      <c r="A159" s="38"/>
      <c r="B159" s="38"/>
      <c r="C159" s="38"/>
      <c r="D159" s="38"/>
      <c r="E159" s="38"/>
      <c r="F159" s="38"/>
    </row>
    <row r="160" ht="15.75" customHeight="1">
      <c r="A160" s="38"/>
      <c r="B160" s="38"/>
      <c r="C160" s="38"/>
      <c r="D160" s="38"/>
      <c r="E160" s="38"/>
      <c r="F160" s="38"/>
    </row>
    <row r="161" ht="15.75" customHeight="1">
      <c r="A161" s="38"/>
      <c r="B161" s="38"/>
      <c r="C161" s="38"/>
      <c r="D161" s="38"/>
      <c r="E161" s="38"/>
      <c r="F161" s="38"/>
    </row>
    <row r="162" ht="15.75" customHeight="1">
      <c r="A162" s="38"/>
      <c r="B162" s="38"/>
      <c r="C162" s="38"/>
      <c r="D162" s="38"/>
      <c r="E162" s="38"/>
      <c r="F162" s="38"/>
    </row>
    <row r="163" ht="15.75" customHeight="1">
      <c r="A163" s="38"/>
      <c r="B163" s="38"/>
      <c r="C163" s="38"/>
      <c r="D163" s="38"/>
      <c r="E163" s="38"/>
      <c r="F163" s="38"/>
    </row>
    <row r="164" ht="15.75" customHeight="1">
      <c r="A164" s="38"/>
      <c r="B164" s="38"/>
      <c r="C164" s="38"/>
      <c r="D164" s="38"/>
      <c r="E164" s="38"/>
      <c r="F164" s="38"/>
    </row>
    <row r="165" ht="15.75" customHeight="1">
      <c r="A165" s="38"/>
      <c r="B165" s="38"/>
      <c r="C165" s="38"/>
      <c r="D165" s="38"/>
      <c r="E165" s="38"/>
      <c r="F165" s="38"/>
    </row>
    <row r="166" ht="15.75" customHeight="1">
      <c r="A166" s="38"/>
      <c r="B166" s="38"/>
      <c r="C166" s="38"/>
      <c r="D166" s="38"/>
      <c r="E166" s="38"/>
      <c r="F166" s="38"/>
    </row>
    <row r="167" ht="15.75" customHeight="1">
      <c r="A167" s="38"/>
      <c r="B167" s="38"/>
      <c r="C167" s="38"/>
      <c r="D167" s="38"/>
      <c r="E167" s="38"/>
      <c r="F167" s="38"/>
    </row>
    <row r="168" ht="15.75" customHeight="1">
      <c r="A168" s="38"/>
      <c r="B168" s="38"/>
      <c r="C168" s="38"/>
      <c r="D168" s="38"/>
      <c r="E168" s="38"/>
      <c r="F168" s="38"/>
    </row>
    <row r="169" ht="15.75" customHeight="1">
      <c r="A169" s="38"/>
      <c r="B169" s="38"/>
      <c r="C169" s="38"/>
      <c r="D169" s="38"/>
      <c r="E169" s="38"/>
      <c r="F169" s="38"/>
    </row>
    <row r="170" ht="15.75" customHeight="1">
      <c r="A170" s="38"/>
      <c r="B170" s="38"/>
      <c r="C170" s="38"/>
      <c r="D170" s="38"/>
      <c r="E170" s="38"/>
      <c r="F170" s="38"/>
    </row>
    <row r="171" ht="15.75" customHeight="1">
      <c r="A171" s="38"/>
      <c r="B171" s="38"/>
      <c r="C171" s="38"/>
      <c r="D171" s="38"/>
      <c r="E171" s="38"/>
      <c r="F171" s="38"/>
    </row>
    <row r="172" ht="15.75" customHeight="1">
      <c r="A172" s="38"/>
      <c r="B172" s="38"/>
      <c r="C172" s="38"/>
      <c r="D172" s="38"/>
      <c r="E172" s="38"/>
      <c r="F172" s="38"/>
    </row>
    <row r="173" ht="15.75" customHeight="1">
      <c r="A173" s="38"/>
      <c r="B173" s="38"/>
      <c r="C173" s="38"/>
      <c r="D173" s="38"/>
      <c r="E173" s="38"/>
      <c r="F173" s="38"/>
    </row>
    <row r="174" ht="15.75" customHeight="1">
      <c r="A174" s="38"/>
      <c r="B174" s="38"/>
      <c r="C174" s="38"/>
      <c r="D174" s="38"/>
      <c r="E174" s="38"/>
      <c r="F174" s="38"/>
    </row>
    <row r="175" ht="15.75" customHeight="1">
      <c r="A175" s="38"/>
      <c r="B175" s="38"/>
      <c r="C175" s="38"/>
      <c r="D175" s="38"/>
      <c r="E175" s="38"/>
      <c r="F175" s="38"/>
    </row>
    <row r="176" ht="15.75" customHeight="1">
      <c r="A176" s="38"/>
      <c r="B176" s="38"/>
      <c r="C176" s="38"/>
      <c r="D176" s="38"/>
      <c r="E176" s="38"/>
      <c r="F176" s="38"/>
    </row>
    <row r="177" ht="15.75" customHeight="1">
      <c r="A177" s="38"/>
      <c r="B177" s="38"/>
      <c r="C177" s="38"/>
      <c r="D177" s="38"/>
      <c r="E177" s="38"/>
      <c r="F177" s="38"/>
    </row>
    <row r="178" ht="15.75" customHeight="1">
      <c r="A178" s="38"/>
      <c r="B178" s="38"/>
      <c r="C178" s="38"/>
      <c r="D178" s="38"/>
      <c r="E178" s="38"/>
      <c r="F178" s="38"/>
    </row>
    <row r="179" ht="15.75" customHeight="1">
      <c r="A179" s="38"/>
      <c r="B179" s="38"/>
      <c r="C179" s="38"/>
      <c r="D179" s="38"/>
      <c r="E179" s="38"/>
      <c r="F179" s="38"/>
    </row>
    <row r="180" ht="15.75" customHeight="1">
      <c r="A180" s="38"/>
      <c r="B180" s="38"/>
      <c r="C180" s="38"/>
      <c r="D180" s="38"/>
      <c r="E180" s="38"/>
      <c r="F180" s="38"/>
    </row>
    <row r="181" ht="15.75" customHeight="1">
      <c r="A181" s="38"/>
      <c r="B181" s="38"/>
      <c r="C181" s="38"/>
      <c r="D181" s="38"/>
      <c r="E181" s="38"/>
      <c r="F181" s="38"/>
    </row>
    <row r="182" ht="15.75" customHeight="1">
      <c r="A182" s="38"/>
      <c r="B182" s="38"/>
      <c r="C182" s="38"/>
      <c r="D182" s="38"/>
      <c r="E182" s="38"/>
      <c r="F182" s="38"/>
    </row>
    <row r="183" ht="15.75" customHeight="1">
      <c r="A183" s="38"/>
      <c r="B183" s="38"/>
      <c r="C183" s="38"/>
      <c r="D183" s="38"/>
      <c r="E183" s="38"/>
      <c r="F183" s="38"/>
    </row>
    <row r="184" ht="15.75" customHeight="1">
      <c r="A184" s="38"/>
      <c r="B184" s="38"/>
      <c r="C184" s="38"/>
      <c r="D184" s="38"/>
      <c r="E184" s="38"/>
      <c r="F184" s="38"/>
    </row>
    <row r="185" ht="15.75" customHeight="1">
      <c r="A185" s="38"/>
      <c r="B185" s="38"/>
      <c r="C185" s="38"/>
      <c r="D185" s="38"/>
      <c r="E185" s="38"/>
      <c r="F185" s="38"/>
    </row>
    <row r="186" ht="15.75" customHeight="1">
      <c r="A186" s="38"/>
      <c r="B186" s="38"/>
      <c r="C186" s="38"/>
      <c r="D186" s="38"/>
      <c r="E186" s="38"/>
      <c r="F186" s="38"/>
    </row>
    <row r="187" ht="15.75" customHeight="1">
      <c r="A187" s="38"/>
      <c r="B187" s="38"/>
      <c r="C187" s="38"/>
      <c r="D187" s="38"/>
      <c r="E187" s="38"/>
      <c r="F187" s="38"/>
    </row>
    <row r="188" ht="15.75" customHeight="1">
      <c r="A188" s="38"/>
      <c r="B188" s="38"/>
      <c r="C188" s="38"/>
      <c r="D188" s="38"/>
      <c r="E188" s="38"/>
      <c r="F188" s="38"/>
    </row>
    <row r="189" ht="15.75" customHeight="1">
      <c r="A189" s="38"/>
      <c r="B189" s="38"/>
      <c r="C189" s="38"/>
      <c r="D189" s="38"/>
      <c r="E189" s="38"/>
      <c r="F189" s="38"/>
    </row>
    <row r="190" ht="15.75" customHeight="1">
      <c r="A190" s="38"/>
      <c r="B190" s="38"/>
      <c r="C190" s="38"/>
      <c r="D190" s="38"/>
      <c r="E190" s="38"/>
      <c r="F190" s="38"/>
    </row>
    <row r="191" ht="15.75" customHeight="1">
      <c r="A191" s="38"/>
      <c r="B191" s="38"/>
      <c r="C191" s="38"/>
      <c r="D191" s="38"/>
      <c r="E191" s="38"/>
      <c r="F191" s="38"/>
    </row>
    <row r="192" ht="15.75" customHeight="1">
      <c r="A192" s="38"/>
      <c r="B192" s="38"/>
      <c r="C192" s="38"/>
      <c r="D192" s="38"/>
      <c r="E192" s="38"/>
      <c r="F192" s="38"/>
    </row>
    <row r="193" ht="15.75" customHeight="1">
      <c r="A193" s="38"/>
      <c r="B193" s="38"/>
      <c r="C193" s="38"/>
      <c r="D193" s="38"/>
      <c r="E193" s="38"/>
      <c r="F193" s="38"/>
    </row>
    <row r="194" ht="15.75" customHeight="1">
      <c r="A194" s="38"/>
      <c r="B194" s="38"/>
      <c r="C194" s="38"/>
      <c r="D194" s="38"/>
      <c r="E194" s="38"/>
      <c r="F194" s="38"/>
    </row>
    <row r="195" ht="15.75" customHeight="1">
      <c r="A195" s="38"/>
      <c r="B195" s="38"/>
      <c r="C195" s="38"/>
      <c r="D195" s="38"/>
      <c r="E195" s="38"/>
      <c r="F195" s="38"/>
    </row>
    <row r="196" ht="15.75" customHeight="1">
      <c r="A196" s="38"/>
      <c r="B196" s="38"/>
      <c r="C196" s="38"/>
      <c r="D196" s="38"/>
      <c r="E196" s="38"/>
      <c r="F196" s="38"/>
    </row>
    <row r="197" ht="15.75" customHeight="1">
      <c r="A197" s="38"/>
      <c r="B197" s="38"/>
      <c r="C197" s="38"/>
      <c r="D197" s="38"/>
      <c r="E197" s="38"/>
      <c r="F197" s="38"/>
    </row>
    <row r="198" ht="15.75" customHeight="1">
      <c r="A198" s="38"/>
      <c r="B198" s="38"/>
      <c r="C198" s="38"/>
      <c r="D198" s="38"/>
      <c r="E198" s="38"/>
      <c r="F198" s="38"/>
    </row>
    <row r="199" ht="15.75" customHeight="1">
      <c r="A199" s="38"/>
      <c r="B199" s="38"/>
      <c r="C199" s="38"/>
      <c r="D199" s="38"/>
      <c r="E199" s="38"/>
      <c r="F199" s="38"/>
    </row>
    <row r="200" ht="15.75" customHeight="1">
      <c r="A200" s="38"/>
      <c r="B200" s="38"/>
      <c r="C200" s="38"/>
      <c r="D200" s="38"/>
      <c r="E200" s="38"/>
      <c r="F200" s="38"/>
    </row>
    <row r="201" ht="15.75" customHeight="1">
      <c r="A201" s="38"/>
      <c r="B201" s="38"/>
      <c r="C201" s="38"/>
      <c r="D201" s="38"/>
      <c r="E201" s="38"/>
      <c r="F201" s="38"/>
    </row>
    <row r="202" ht="15.75" customHeight="1">
      <c r="A202" s="38"/>
      <c r="B202" s="38"/>
      <c r="C202" s="38"/>
      <c r="D202" s="38"/>
      <c r="E202" s="38"/>
      <c r="F202" s="38"/>
    </row>
    <row r="203" ht="15.75" customHeight="1">
      <c r="A203" s="38"/>
      <c r="B203" s="38"/>
      <c r="C203" s="38"/>
      <c r="D203" s="38"/>
      <c r="E203" s="38"/>
      <c r="F203" s="38"/>
    </row>
    <row r="204" ht="15.75" customHeight="1">
      <c r="A204" s="38"/>
      <c r="B204" s="38"/>
      <c r="C204" s="38"/>
      <c r="D204" s="38"/>
      <c r="E204" s="38"/>
      <c r="F204" s="38"/>
    </row>
    <row r="205" ht="15.75" customHeight="1">
      <c r="A205" s="38"/>
      <c r="B205" s="38"/>
      <c r="C205" s="38"/>
      <c r="D205" s="38"/>
      <c r="E205" s="38"/>
      <c r="F205" s="38"/>
    </row>
    <row r="206" ht="15.75" customHeight="1">
      <c r="A206" s="38"/>
      <c r="B206" s="38"/>
      <c r="C206" s="38"/>
      <c r="D206" s="38"/>
      <c r="E206" s="38"/>
      <c r="F206" s="38"/>
    </row>
    <row r="207" ht="15.75" customHeight="1">
      <c r="A207" s="38"/>
      <c r="B207" s="38"/>
      <c r="C207" s="38"/>
      <c r="D207" s="38"/>
      <c r="E207" s="38"/>
      <c r="F207" s="38"/>
    </row>
    <row r="208" ht="15.75" customHeight="1">
      <c r="A208" s="38"/>
      <c r="B208" s="38"/>
      <c r="C208" s="38"/>
      <c r="D208" s="38"/>
      <c r="E208" s="38"/>
      <c r="F208" s="38"/>
    </row>
    <row r="209" ht="15.75" customHeight="1">
      <c r="A209" s="38"/>
      <c r="B209" s="38"/>
      <c r="C209" s="38"/>
      <c r="D209" s="38"/>
      <c r="E209" s="38"/>
      <c r="F209" s="38"/>
    </row>
    <row r="210" ht="15.75" customHeight="1">
      <c r="A210" s="38"/>
      <c r="B210" s="38"/>
      <c r="C210" s="38"/>
      <c r="D210" s="38"/>
      <c r="E210" s="38"/>
      <c r="F210" s="38"/>
    </row>
    <row r="211" ht="15.75" customHeight="1">
      <c r="A211" s="38"/>
      <c r="B211" s="38"/>
      <c r="C211" s="38"/>
      <c r="D211" s="38"/>
      <c r="E211" s="38"/>
      <c r="F211" s="38"/>
    </row>
    <row r="212" ht="15.75" customHeight="1">
      <c r="A212" s="38"/>
      <c r="B212" s="38"/>
      <c r="C212" s="38"/>
      <c r="D212" s="38"/>
      <c r="E212" s="38"/>
      <c r="F212" s="38"/>
    </row>
    <row r="213" ht="15.75" customHeight="1">
      <c r="A213" s="38"/>
      <c r="B213" s="38"/>
      <c r="C213" s="38"/>
      <c r="D213" s="38"/>
      <c r="E213" s="38"/>
      <c r="F213" s="38"/>
    </row>
    <row r="214" ht="15.75" customHeight="1">
      <c r="A214" s="38"/>
      <c r="B214" s="38"/>
      <c r="C214" s="38"/>
      <c r="D214" s="38"/>
      <c r="E214" s="38"/>
      <c r="F214" s="38"/>
    </row>
    <row r="215" ht="15.75" customHeight="1">
      <c r="A215" s="38"/>
      <c r="B215" s="38"/>
      <c r="C215" s="38"/>
      <c r="D215" s="38"/>
      <c r="E215" s="38"/>
      <c r="F215" s="38"/>
    </row>
    <row r="216" ht="15.75" customHeight="1">
      <c r="A216" s="38"/>
      <c r="B216" s="38"/>
      <c r="C216" s="38"/>
      <c r="D216" s="38"/>
      <c r="E216" s="38"/>
      <c r="F216" s="38"/>
    </row>
    <row r="217" ht="15.75" customHeight="1">
      <c r="A217" s="38"/>
      <c r="B217" s="38"/>
      <c r="C217" s="38"/>
      <c r="D217" s="38"/>
      <c r="E217" s="38"/>
      <c r="F217" s="38"/>
    </row>
    <row r="218" ht="15.75" customHeight="1">
      <c r="A218" s="38"/>
      <c r="B218" s="38"/>
      <c r="C218" s="38"/>
      <c r="D218" s="38"/>
      <c r="E218" s="38"/>
      <c r="F218" s="38"/>
    </row>
    <row r="219" ht="15.75" customHeight="1">
      <c r="A219" s="38"/>
      <c r="B219" s="38"/>
      <c r="C219" s="38"/>
      <c r="D219" s="38"/>
      <c r="E219" s="38"/>
      <c r="F219" s="38"/>
    </row>
    <row r="220" ht="15.75" customHeight="1">
      <c r="A220" s="38"/>
      <c r="B220" s="38"/>
      <c r="C220" s="38"/>
      <c r="D220" s="38"/>
      <c r="E220" s="38"/>
      <c r="F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6:B6"/>
    <mergeCell ref="C6:D6"/>
    <mergeCell ref="E6:F6"/>
    <mergeCell ref="A7:B7"/>
    <mergeCell ref="C7:D7"/>
    <mergeCell ref="E7:F7"/>
    <mergeCell ref="A9:F9"/>
    <mergeCell ref="A1:F1"/>
    <mergeCell ref="A3:B3"/>
    <mergeCell ref="C3:D3"/>
    <mergeCell ref="E3:F3"/>
    <mergeCell ref="A4:B4"/>
    <mergeCell ref="C4:D4"/>
    <mergeCell ref="E4:F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55.0"/>
    <col customWidth="1" min="4" max="6" width="8.71"/>
  </cols>
  <sheetData>
    <row r="1" ht="33.75" customHeight="1">
      <c r="A1" s="57" t="s">
        <v>138</v>
      </c>
      <c r="B1" s="2"/>
      <c r="C1" s="2"/>
    </row>
    <row r="2" ht="21.75" customHeight="1">
      <c r="A2" s="38"/>
      <c r="B2" s="38"/>
      <c r="C2" s="38"/>
    </row>
    <row r="3" ht="21.75" customHeight="1">
      <c r="A3" s="4" t="s">
        <v>139</v>
      </c>
      <c r="B3" s="4" t="s">
        <v>140</v>
      </c>
      <c r="C3" s="4" t="s">
        <v>141</v>
      </c>
    </row>
    <row r="4" ht="21.75" customHeight="1">
      <c r="A4" s="52" t="s">
        <v>142</v>
      </c>
      <c r="B4" s="72" t="s">
        <v>3</v>
      </c>
      <c r="C4" s="73" t="s">
        <v>143</v>
      </c>
    </row>
    <row r="5" ht="21.75" customHeight="1">
      <c r="A5" s="52" t="s">
        <v>144</v>
      </c>
      <c r="B5" s="74" t="s">
        <v>114</v>
      </c>
      <c r="C5" s="75" t="s">
        <v>145</v>
      </c>
    </row>
    <row r="6" ht="21.75" customHeight="1">
      <c r="A6" s="52" t="s">
        <v>146</v>
      </c>
      <c r="B6" s="72" t="s">
        <v>5</v>
      </c>
      <c r="C6" s="73" t="s">
        <v>147</v>
      </c>
    </row>
    <row r="7" ht="21.75" customHeight="1">
      <c r="A7" s="52" t="s">
        <v>148</v>
      </c>
      <c r="B7" s="74" t="s">
        <v>149</v>
      </c>
      <c r="C7" s="75" t="s">
        <v>150</v>
      </c>
    </row>
    <row r="8" ht="21.75" customHeight="1">
      <c r="A8" s="52" t="s">
        <v>151</v>
      </c>
      <c r="B8" s="72" t="s">
        <v>9</v>
      </c>
      <c r="C8" s="73" t="s">
        <v>152</v>
      </c>
    </row>
    <row r="9" ht="21.75" customHeight="1">
      <c r="A9" s="52" t="s">
        <v>153</v>
      </c>
      <c r="B9" s="74" t="s">
        <v>120</v>
      </c>
      <c r="C9" s="75" t="s">
        <v>154</v>
      </c>
    </row>
    <row r="10" ht="21.75" customHeight="1">
      <c r="A10" s="52" t="s">
        <v>155</v>
      </c>
      <c r="B10" s="72" t="s">
        <v>11</v>
      </c>
      <c r="C10" s="73" t="s">
        <v>156</v>
      </c>
    </row>
    <row r="11" ht="21.75" customHeight="1">
      <c r="A11" s="52" t="s">
        <v>157</v>
      </c>
      <c r="B11" s="74" t="s">
        <v>158</v>
      </c>
      <c r="C11" s="75" t="s">
        <v>159</v>
      </c>
    </row>
    <row r="12" ht="21.75" customHeight="1">
      <c r="A12" s="52" t="s">
        <v>160</v>
      </c>
      <c r="B12" s="72" t="s">
        <v>161</v>
      </c>
      <c r="C12" s="73" t="s">
        <v>162</v>
      </c>
    </row>
    <row r="13" ht="21.75" customHeight="1">
      <c r="A13" s="52" t="s">
        <v>163</v>
      </c>
      <c r="B13" s="74" t="s">
        <v>121</v>
      </c>
      <c r="C13" s="75" t="s">
        <v>164</v>
      </c>
    </row>
    <row r="14" ht="21.75" customHeight="1">
      <c r="A14" s="52" t="s">
        <v>165</v>
      </c>
      <c r="B14" s="72" t="s">
        <v>166</v>
      </c>
      <c r="C14" s="73" t="s">
        <v>167</v>
      </c>
    </row>
    <row r="15" ht="21.75" customHeight="1">
      <c r="A15" s="52" t="s">
        <v>168</v>
      </c>
      <c r="B15" s="74" t="s">
        <v>169</v>
      </c>
      <c r="C15" s="75" t="s">
        <v>170</v>
      </c>
    </row>
    <row r="16" ht="21.75" customHeight="1">
      <c r="A16" s="52" t="s">
        <v>171</v>
      </c>
      <c r="B16" s="72" t="s">
        <v>172</v>
      </c>
      <c r="C16" s="73" t="s">
        <v>173</v>
      </c>
    </row>
    <row r="17" ht="21.75" customHeight="1">
      <c r="A17" s="52" t="s">
        <v>174</v>
      </c>
      <c r="B17" s="74" t="s">
        <v>175</v>
      </c>
      <c r="C17" s="75" t="s">
        <v>176</v>
      </c>
    </row>
    <row r="18" ht="21.75" customHeight="1">
      <c r="A18" s="38"/>
      <c r="B18" s="38"/>
      <c r="C18" s="38"/>
    </row>
    <row r="19" ht="21.75" customHeight="1">
      <c r="A19" s="76" t="s">
        <v>177</v>
      </c>
      <c r="B19" s="2"/>
      <c r="C19" s="2"/>
    </row>
    <row r="20" ht="21.75" customHeight="1">
      <c r="A20" s="38"/>
      <c r="B20" s="77" t="s">
        <v>178</v>
      </c>
      <c r="C20" s="78" t="s">
        <v>179</v>
      </c>
    </row>
    <row r="21" ht="21.75" customHeight="1">
      <c r="A21" s="38"/>
      <c r="B21" s="77" t="s">
        <v>180</v>
      </c>
      <c r="C21" s="78" t="s">
        <v>181</v>
      </c>
    </row>
    <row r="22" ht="21.75" customHeight="1">
      <c r="A22" s="38"/>
      <c r="B22" s="77" t="s">
        <v>182</v>
      </c>
      <c r="C22" s="78" t="s">
        <v>183</v>
      </c>
    </row>
    <row r="23" ht="21.75" customHeight="1">
      <c r="A23" s="38"/>
      <c r="B23" s="77" t="s">
        <v>184</v>
      </c>
      <c r="C23" s="78" t="s">
        <v>185</v>
      </c>
    </row>
    <row r="24" ht="21.75" customHeight="1">
      <c r="A24" s="38"/>
      <c r="B24" s="77" t="s">
        <v>186</v>
      </c>
      <c r="C24" s="78" t="s">
        <v>187</v>
      </c>
    </row>
    <row r="25" ht="21.75" customHeight="1">
      <c r="A25" s="38"/>
      <c r="B25" s="38"/>
      <c r="C25" s="38"/>
    </row>
    <row r="26" ht="21.75" customHeight="1">
      <c r="A26" s="76" t="s">
        <v>188</v>
      </c>
      <c r="B26" s="2"/>
      <c r="C26" s="2"/>
    </row>
    <row r="27" ht="21.75" customHeight="1">
      <c r="A27" s="38"/>
      <c r="B27" s="77" t="s">
        <v>189</v>
      </c>
      <c r="C27" s="78" t="s">
        <v>190</v>
      </c>
    </row>
    <row r="28" ht="21.75" customHeight="1">
      <c r="A28" s="38"/>
      <c r="B28" s="77" t="s">
        <v>191</v>
      </c>
      <c r="C28" s="78" t="s">
        <v>192</v>
      </c>
    </row>
    <row r="29" ht="21.75" customHeight="1">
      <c r="A29" s="38"/>
      <c r="B29" s="77" t="s">
        <v>193</v>
      </c>
      <c r="C29" s="78" t="s">
        <v>194</v>
      </c>
    </row>
    <row r="30" ht="15.75" customHeight="1">
      <c r="A30" s="38"/>
      <c r="B30" s="38"/>
      <c r="C30" s="38"/>
    </row>
    <row r="31" ht="15.75" customHeight="1">
      <c r="A31" s="38"/>
      <c r="B31" s="38"/>
      <c r="C31" s="38"/>
    </row>
    <row r="32" ht="15.75" customHeight="1">
      <c r="A32" s="38"/>
      <c r="B32" s="38"/>
      <c r="C32" s="38"/>
    </row>
    <row r="33" ht="15.75" customHeight="1">
      <c r="A33" s="38"/>
      <c r="B33" s="38"/>
      <c r="C33" s="38"/>
    </row>
    <row r="34" ht="15.75" customHeight="1">
      <c r="A34" s="38"/>
      <c r="B34" s="38"/>
      <c r="C34" s="38"/>
    </row>
    <row r="35" ht="15.75" customHeight="1">
      <c r="A35" s="38"/>
      <c r="B35" s="38"/>
      <c r="C35" s="38"/>
    </row>
    <row r="36" ht="15.75" customHeight="1">
      <c r="A36" s="38"/>
      <c r="B36" s="38"/>
      <c r="C36" s="38"/>
    </row>
    <row r="37" ht="15.75" customHeight="1">
      <c r="A37" s="38"/>
      <c r="B37" s="38"/>
      <c r="C37" s="38"/>
    </row>
    <row r="38" ht="15.75" customHeight="1">
      <c r="A38" s="38"/>
      <c r="B38" s="38"/>
      <c r="C38" s="38"/>
    </row>
    <row r="39" ht="15.75" customHeight="1">
      <c r="A39" s="38"/>
      <c r="B39" s="38"/>
      <c r="C39" s="38"/>
    </row>
    <row r="40" ht="15.75" customHeight="1">
      <c r="A40" s="38"/>
      <c r="B40" s="38"/>
      <c r="C40" s="38"/>
    </row>
    <row r="41" ht="15.75" customHeight="1">
      <c r="A41" s="38"/>
      <c r="B41" s="38"/>
      <c r="C41" s="38"/>
    </row>
    <row r="42" ht="15.75" customHeight="1">
      <c r="A42" s="38"/>
      <c r="B42" s="38"/>
      <c r="C42" s="38"/>
    </row>
    <row r="43" ht="15.75" customHeight="1">
      <c r="A43" s="38"/>
      <c r="B43" s="38"/>
      <c r="C43" s="38"/>
    </row>
    <row r="44" ht="15.75" customHeight="1">
      <c r="A44" s="38"/>
      <c r="B44" s="38"/>
      <c r="C44" s="38"/>
    </row>
    <row r="45" ht="15.75" customHeight="1">
      <c r="A45" s="38"/>
      <c r="B45" s="38"/>
      <c r="C45" s="38"/>
    </row>
    <row r="46" ht="15.75" customHeight="1">
      <c r="A46" s="38"/>
      <c r="B46" s="38"/>
      <c r="C46" s="38"/>
    </row>
    <row r="47" ht="15.75" customHeight="1">
      <c r="A47" s="38"/>
      <c r="B47" s="38"/>
      <c r="C47" s="38"/>
    </row>
    <row r="48" ht="15.75" customHeight="1">
      <c r="A48" s="38"/>
      <c r="B48" s="38"/>
      <c r="C48" s="38"/>
    </row>
    <row r="49" ht="15.75" customHeight="1">
      <c r="A49" s="38"/>
      <c r="B49" s="38"/>
      <c r="C49" s="38"/>
    </row>
    <row r="50" ht="15.75" customHeight="1">
      <c r="A50" s="38"/>
      <c r="B50" s="38"/>
      <c r="C50" s="38"/>
    </row>
    <row r="51" ht="15.75" customHeight="1">
      <c r="A51" s="38"/>
      <c r="B51" s="38"/>
      <c r="C51" s="38"/>
    </row>
    <row r="52" ht="15.75" customHeight="1">
      <c r="A52" s="38"/>
      <c r="B52" s="38"/>
      <c r="C52" s="38"/>
    </row>
    <row r="53" ht="15.75" customHeight="1">
      <c r="A53" s="38"/>
      <c r="B53" s="38"/>
      <c r="C53" s="38"/>
    </row>
    <row r="54" ht="15.75" customHeight="1">
      <c r="A54" s="38"/>
      <c r="B54" s="38"/>
      <c r="C54" s="38"/>
    </row>
    <row r="55" ht="15.75" customHeight="1">
      <c r="A55" s="38"/>
      <c r="B55" s="38"/>
      <c r="C55" s="38"/>
    </row>
    <row r="56" ht="15.75" customHeight="1">
      <c r="A56" s="38"/>
      <c r="B56" s="38"/>
      <c r="C56" s="38"/>
    </row>
    <row r="57" ht="15.75" customHeight="1">
      <c r="A57" s="38"/>
      <c r="B57" s="38"/>
      <c r="C57" s="38"/>
    </row>
    <row r="58" ht="15.75" customHeight="1">
      <c r="A58" s="38"/>
      <c r="B58" s="38"/>
      <c r="C58" s="38"/>
    </row>
    <row r="59" ht="15.75" customHeight="1">
      <c r="A59" s="38"/>
      <c r="B59" s="38"/>
      <c r="C59" s="38"/>
    </row>
    <row r="60" ht="15.75" customHeight="1">
      <c r="A60" s="38"/>
      <c r="B60" s="38"/>
      <c r="C60" s="38"/>
    </row>
    <row r="61" ht="15.75" customHeight="1">
      <c r="A61" s="38"/>
      <c r="B61" s="38"/>
      <c r="C61" s="38"/>
    </row>
    <row r="62" ht="15.75" customHeight="1">
      <c r="A62" s="38"/>
      <c r="B62" s="38"/>
      <c r="C62" s="38"/>
    </row>
    <row r="63" ht="15.75" customHeight="1">
      <c r="A63" s="38"/>
      <c r="B63" s="38"/>
      <c r="C63" s="38"/>
    </row>
    <row r="64" ht="15.75" customHeight="1">
      <c r="A64" s="38"/>
      <c r="B64" s="38"/>
      <c r="C64" s="38"/>
    </row>
    <row r="65" ht="15.75" customHeight="1">
      <c r="A65" s="38"/>
      <c r="B65" s="38"/>
      <c r="C65" s="38"/>
    </row>
    <row r="66" ht="15.75" customHeight="1">
      <c r="A66" s="38"/>
      <c r="B66" s="38"/>
      <c r="C66" s="38"/>
    </row>
    <row r="67" ht="15.75" customHeight="1">
      <c r="A67" s="38"/>
      <c r="B67" s="38"/>
      <c r="C67" s="38"/>
    </row>
    <row r="68" ht="15.75" customHeight="1">
      <c r="A68" s="38"/>
      <c r="B68" s="38"/>
      <c r="C68" s="38"/>
    </row>
    <row r="69" ht="15.75" customHeight="1">
      <c r="A69" s="38"/>
      <c r="B69" s="38"/>
      <c r="C69" s="38"/>
    </row>
    <row r="70" ht="15.75" customHeight="1">
      <c r="A70" s="38"/>
      <c r="B70" s="38"/>
      <c r="C70" s="38"/>
    </row>
    <row r="71" ht="15.75" customHeight="1">
      <c r="A71" s="38"/>
      <c r="B71" s="38"/>
      <c r="C71" s="38"/>
    </row>
    <row r="72" ht="15.75" customHeight="1">
      <c r="A72" s="38"/>
      <c r="B72" s="38"/>
      <c r="C72" s="38"/>
    </row>
    <row r="73" ht="15.75" customHeight="1">
      <c r="A73" s="38"/>
      <c r="B73" s="38"/>
      <c r="C73" s="38"/>
    </row>
    <row r="74" ht="15.75" customHeight="1">
      <c r="A74" s="38"/>
      <c r="B74" s="38"/>
      <c r="C74" s="38"/>
    </row>
    <row r="75" ht="15.75" customHeight="1">
      <c r="A75" s="38"/>
      <c r="B75" s="38"/>
      <c r="C75" s="38"/>
    </row>
    <row r="76" ht="15.75" customHeight="1">
      <c r="A76" s="38"/>
      <c r="B76" s="38"/>
      <c r="C76" s="38"/>
    </row>
    <row r="77" ht="15.75" customHeight="1">
      <c r="A77" s="38"/>
      <c r="B77" s="38"/>
      <c r="C77" s="38"/>
    </row>
    <row r="78" ht="15.75" customHeight="1">
      <c r="A78" s="38"/>
      <c r="B78" s="38"/>
      <c r="C78" s="38"/>
    </row>
    <row r="79" ht="15.75" customHeight="1">
      <c r="A79" s="38"/>
      <c r="B79" s="38"/>
      <c r="C79" s="38"/>
    </row>
    <row r="80" ht="15.75" customHeight="1">
      <c r="A80" s="38"/>
      <c r="B80" s="38"/>
      <c r="C80" s="38"/>
    </row>
    <row r="81" ht="15.75" customHeight="1">
      <c r="A81" s="38"/>
      <c r="B81" s="38"/>
      <c r="C81" s="38"/>
    </row>
    <row r="82" ht="15.75" customHeight="1">
      <c r="A82" s="38"/>
      <c r="B82" s="38"/>
      <c r="C82" s="38"/>
    </row>
    <row r="83" ht="15.75" customHeight="1">
      <c r="A83" s="38"/>
      <c r="B83" s="38"/>
      <c r="C83" s="38"/>
    </row>
    <row r="84" ht="15.75" customHeight="1">
      <c r="A84" s="38"/>
      <c r="B84" s="38"/>
      <c r="C84" s="38"/>
    </row>
    <row r="85" ht="15.75" customHeight="1">
      <c r="A85" s="38"/>
      <c r="B85" s="38"/>
      <c r="C85" s="38"/>
    </row>
    <row r="86" ht="15.75" customHeight="1">
      <c r="A86" s="38"/>
      <c r="B86" s="38"/>
      <c r="C86" s="38"/>
    </row>
    <row r="87" ht="15.75" customHeight="1">
      <c r="A87" s="38"/>
      <c r="B87" s="38"/>
      <c r="C87" s="38"/>
    </row>
    <row r="88" ht="15.75" customHeight="1">
      <c r="A88" s="38"/>
      <c r="B88" s="38"/>
      <c r="C88" s="38"/>
    </row>
    <row r="89" ht="15.75" customHeight="1">
      <c r="A89" s="38"/>
      <c r="B89" s="38"/>
      <c r="C89" s="38"/>
    </row>
    <row r="90" ht="15.75" customHeight="1">
      <c r="A90" s="38"/>
      <c r="B90" s="38"/>
      <c r="C90" s="38"/>
    </row>
    <row r="91" ht="15.75" customHeight="1">
      <c r="A91" s="38"/>
      <c r="B91" s="38"/>
      <c r="C91" s="38"/>
    </row>
    <row r="92" ht="15.75" customHeight="1">
      <c r="A92" s="38"/>
      <c r="B92" s="38"/>
      <c r="C92" s="38"/>
    </row>
    <row r="93" ht="15.75" customHeight="1">
      <c r="A93" s="38"/>
      <c r="B93" s="38"/>
      <c r="C93" s="38"/>
    </row>
    <row r="94" ht="15.75" customHeight="1">
      <c r="A94" s="38"/>
      <c r="B94" s="38"/>
      <c r="C94" s="38"/>
    </row>
    <row r="95" ht="15.75" customHeight="1">
      <c r="A95" s="38"/>
      <c r="B95" s="38"/>
      <c r="C95" s="38"/>
    </row>
    <row r="96" ht="15.75" customHeight="1">
      <c r="A96" s="38"/>
      <c r="B96" s="38"/>
      <c r="C96" s="38"/>
    </row>
    <row r="97" ht="15.75" customHeight="1">
      <c r="A97" s="38"/>
      <c r="B97" s="38"/>
      <c r="C97" s="38"/>
    </row>
    <row r="98" ht="15.75" customHeight="1">
      <c r="A98" s="38"/>
      <c r="B98" s="38"/>
      <c r="C98" s="38"/>
    </row>
    <row r="99" ht="15.75" customHeight="1">
      <c r="A99" s="38"/>
      <c r="B99" s="38"/>
      <c r="C99" s="38"/>
    </row>
    <row r="100" ht="15.75" customHeight="1">
      <c r="A100" s="38"/>
      <c r="B100" s="38"/>
      <c r="C100" s="38"/>
    </row>
    <row r="101" ht="15.75" customHeight="1">
      <c r="A101" s="38"/>
      <c r="B101" s="38"/>
      <c r="C101" s="38"/>
    </row>
    <row r="102" ht="15.75" customHeight="1">
      <c r="A102" s="38"/>
      <c r="B102" s="38"/>
      <c r="C102" s="38"/>
    </row>
    <row r="103" ht="15.75" customHeight="1">
      <c r="A103" s="38"/>
      <c r="B103" s="38"/>
      <c r="C103" s="38"/>
    </row>
    <row r="104" ht="15.75" customHeight="1">
      <c r="A104" s="38"/>
      <c r="B104" s="38"/>
      <c r="C104" s="38"/>
    </row>
    <row r="105" ht="15.75" customHeight="1">
      <c r="A105" s="38"/>
      <c r="B105" s="38"/>
      <c r="C105" s="38"/>
    </row>
    <row r="106" ht="15.75" customHeight="1">
      <c r="A106" s="38"/>
      <c r="B106" s="38"/>
      <c r="C106" s="38"/>
    </row>
    <row r="107" ht="15.75" customHeight="1">
      <c r="A107" s="38"/>
      <c r="B107" s="38"/>
      <c r="C107" s="38"/>
    </row>
    <row r="108" ht="15.75" customHeight="1">
      <c r="A108" s="38"/>
      <c r="B108" s="38"/>
      <c r="C108" s="38"/>
    </row>
    <row r="109" ht="15.75" customHeight="1">
      <c r="A109" s="38"/>
      <c r="B109" s="38"/>
      <c r="C109" s="38"/>
    </row>
    <row r="110" ht="15.75" customHeight="1">
      <c r="A110" s="38"/>
      <c r="B110" s="38"/>
      <c r="C110" s="38"/>
    </row>
    <row r="111" ht="15.75" customHeight="1">
      <c r="A111" s="38"/>
      <c r="B111" s="38"/>
      <c r="C111" s="38"/>
    </row>
    <row r="112" ht="15.75" customHeight="1">
      <c r="A112" s="38"/>
      <c r="B112" s="38"/>
      <c r="C112" s="38"/>
    </row>
    <row r="113" ht="15.75" customHeight="1">
      <c r="A113" s="38"/>
      <c r="B113" s="38"/>
      <c r="C113" s="38"/>
    </row>
    <row r="114" ht="15.75" customHeight="1">
      <c r="A114" s="38"/>
      <c r="B114" s="38"/>
      <c r="C114" s="38"/>
    </row>
    <row r="115" ht="15.75" customHeight="1">
      <c r="A115" s="38"/>
      <c r="B115" s="38"/>
      <c r="C115" s="38"/>
    </row>
    <row r="116" ht="15.75" customHeight="1">
      <c r="A116" s="38"/>
      <c r="B116" s="38"/>
      <c r="C116" s="38"/>
    </row>
    <row r="117" ht="15.75" customHeight="1">
      <c r="A117" s="38"/>
      <c r="B117" s="38"/>
      <c r="C117" s="38"/>
    </row>
    <row r="118" ht="15.75" customHeight="1">
      <c r="A118" s="38"/>
      <c r="B118" s="38"/>
      <c r="C118" s="38"/>
    </row>
    <row r="119" ht="15.75" customHeight="1">
      <c r="A119" s="38"/>
      <c r="B119" s="38"/>
      <c r="C119" s="38"/>
    </row>
    <row r="120" ht="15.75" customHeight="1">
      <c r="A120" s="38"/>
      <c r="B120" s="38"/>
      <c r="C120" s="38"/>
    </row>
    <row r="121" ht="15.75" customHeight="1">
      <c r="A121" s="38"/>
      <c r="B121" s="38"/>
      <c r="C121" s="38"/>
    </row>
    <row r="122" ht="15.75" customHeight="1">
      <c r="A122" s="38"/>
      <c r="B122" s="38"/>
      <c r="C122" s="38"/>
    </row>
    <row r="123" ht="15.75" customHeight="1">
      <c r="A123" s="38"/>
      <c r="B123" s="38"/>
      <c r="C123" s="38"/>
    </row>
    <row r="124" ht="15.75" customHeight="1">
      <c r="A124" s="38"/>
      <c r="B124" s="38"/>
      <c r="C124" s="38"/>
    </row>
    <row r="125" ht="15.75" customHeight="1">
      <c r="A125" s="38"/>
      <c r="B125" s="38"/>
      <c r="C125" s="38"/>
    </row>
    <row r="126" ht="15.75" customHeight="1">
      <c r="A126" s="38"/>
      <c r="B126" s="38"/>
      <c r="C126" s="38"/>
    </row>
    <row r="127" ht="15.75" customHeight="1">
      <c r="A127" s="38"/>
      <c r="B127" s="38"/>
      <c r="C127" s="38"/>
    </row>
    <row r="128" ht="15.75" customHeight="1">
      <c r="A128" s="38"/>
      <c r="B128" s="38"/>
      <c r="C128" s="38"/>
    </row>
    <row r="129" ht="15.75" customHeight="1">
      <c r="A129" s="38"/>
      <c r="B129" s="38"/>
      <c r="C129" s="38"/>
    </row>
    <row r="130" ht="15.75" customHeight="1">
      <c r="A130" s="38"/>
      <c r="B130" s="38"/>
      <c r="C130" s="38"/>
    </row>
    <row r="131" ht="15.75" customHeight="1">
      <c r="A131" s="38"/>
      <c r="B131" s="38"/>
      <c r="C131" s="38"/>
    </row>
    <row r="132" ht="15.75" customHeight="1">
      <c r="A132" s="38"/>
      <c r="B132" s="38"/>
      <c r="C132" s="38"/>
    </row>
    <row r="133" ht="15.75" customHeight="1">
      <c r="A133" s="38"/>
      <c r="B133" s="38"/>
      <c r="C133" s="38"/>
    </row>
    <row r="134" ht="15.75" customHeight="1">
      <c r="A134" s="38"/>
      <c r="B134" s="38"/>
      <c r="C134" s="38"/>
    </row>
    <row r="135" ht="15.75" customHeight="1">
      <c r="A135" s="38"/>
      <c r="B135" s="38"/>
      <c r="C135" s="38"/>
    </row>
    <row r="136" ht="15.75" customHeight="1">
      <c r="A136" s="38"/>
      <c r="B136" s="38"/>
      <c r="C136" s="38"/>
    </row>
    <row r="137" ht="15.75" customHeight="1">
      <c r="A137" s="38"/>
      <c r="B137" s="38"/>
      <c r="C137" s="38"/>
    </row>
    <row r="138" ht="15.75" customHeight="1">
      <c r="A138" s="38"/>
      <c r="B138" s="38"/>
      <c r="C138" s="38"/>
    </row>
    <row r="139" ht="15.75" customHeight="1">
      <c r="A139" s="38"/>
      <c r="B139" s="38"/>
      <c r="C139" s="38"/>
    </row>
    <row r="140" ht="15.75" customHeight="1">
      <c r="A140" s="38"/>
      <c r="B140" s="38"/>
      <c r="C140" s="38"/>
    </row>
    <row r="141" ht="15.75" customHeight="1">
      <c r="A141" s="38"/>
      <c r="B141" s="38"/>
      <c r="C141" s="38"/>
    </row>
    <row r="142" ht="15.75" customHeight="1">
      <c r="A142" s="38"/>
      <c r="B142" s="38"/>
      <c r="C142" s="38"/>
    </row>
    <row r="143" ht="15.75" customHeight="1">
      <c r="A143" s="38"/>
      <c r="B143" s="38"/>
      <c r="C143" s="38"/>
    </row>
    <row r="144" ht="15.75" customHeight="1">
      <c r="A144" s="38"/>
      <c r="B144" s="38"/>
      <c r="C144" s="38"/>
    </row>
    <row r="145" ht="15.75" customHeight="1">
      <c r="A145" s="38"/>
      <c r="B145" s="38"/>
      <c r="C145" s="38"/>
    </row>
    <row r="146" ht="15.75" customHeight="1">
      <c r="A146" s="38"/>
      <c r="B146" s="38"/>
      <c r="C146" s="38"/>
    </row>
    <row r="147" ht="15.75" customHeight="1">
      <c r="A147" s="38"/>
      <c r="B147" s="38"/>
      <c r="C147" s="38"/>
    </row>
    <row r="148" ht="15.75" customHeight="1">
      <c r="A148" s="38"/>
      <c r="B148" s="38"/>
      <c r="C148" s="38"/>
    </row>
    <row r="149" ht="15.75" customHeight="1">
      <c r="A149" s="38"/>
      <c r="B149" s="38"/>
      <c r="C149" s="38"/>
    </row>
    <row r="150" ht="15.75" customHeight="1">
      <c r="A150" s="38"/>
      <c r="B150" s="38"/>
      <c r="C150" s="38"/>
    </row>
    <row r="151" ht="15.75" customHeight="1">
      <c r="A151" s="38"/>
      <c r="B151" s="38"/>
      <c r="C151" s="38"/>
    </row>
    <row r="152" ht="15.75" customHeight="1">
      <c r="A152" s="38"/>
      <c r="B152" s="38"/>
      <c r="C152" s="38"/>
    </row>
    <row r="153" ht="15.75" customHeight="1">
      <c r="A153" s="38"/>
      <c r="B153" s="38"/>
      <c r="C153" s="38"/>
    </row>
    <row r="154" ht="15.75" customHeight="1">
      <c r="A154" s="38"/>
      <c r="B154" s="38"/>
      <c r="C154" s="38"/>
    </row>
    <row r="155" ht="15.75" customHeight="1">
      <c r="A155" s="38"/>
      <c r="B155" s="38"/>
      <c r="C155" s="38"/>
    </row>
    <row r="156" ht="15.75" customHeight="1">
      <c r="A156" s="38"/>
      <c r="B156" s="38"/>
      <c r="C156" s="38"/>
    </row>
    <row r="157" ht="15.75" customHeight="1">
      <c r="A157" s="38"/>
      <c r="B157" s="38"/>
      <c r="C157" s="38"/>
    </row>
    <row r="158" ht="15.75" customHeight="1">
      <c r="A158" s="38"/>
      <c r="B158" s="38"/>
      <c r="C158" s="38"/>
    </row>
    <row r="159" ht="15.75" customHeight="1">
      <c r="A159" s="38"/>
      <c r="B159" s="38"/>
      <c r="C159" s="38"/>
    </row>
    <row r="160" ht="15.75" customHeight="1">
      <c r="A160" s="38"/>
      <c r="B160" s="38"/>
      <c r="C160" s="38"/>
    </row>
    <row r="161" ht="15.75" customHeight="1">
      <c r="A161" s="38"/>
      <c r="B161" s="38"/>
      <c r="C161" s="38"/>
    </row>
    <row r="162" ht="15.75" customHeight="1">
      <c r="A162" s="38"/>
      <c r="B162" s="38"/>
      <c r="C162" s="38"/>
    </row>
    <row r="163" ht="15.75" customHeight="1">
      <c r="A163" s="38"/>
      <c r="B163" s="38"/>
      <c r="C163" s="38"/>
    </row>
    <row r="164" ht="15.75" customHeight="1">
      <c r="A164" s="38"/>
      <c r="B164" s="38"/>
      <c r="C164" s="38"/>
    </row>
    <row r="165" ht="15.75" customHeight="1">
      <c r="A165" s="38"/>
      <c r="B165" s="38"/>
      <c r="C165" s="38"/>
    </row>
    <row r="166" ht="15.75" customHeight="1">
      <c r="A166" s="38"/>
      <c r="B166" s="38"/>
      <c r="C166" s="38"/>
    </row>
    <row r="167" ht="15.75" customHeight="1">
      <c r="A167" s="38"/>
      <c r="B167" s="38"/>
      <c r="C167" s="38"/>
    </row>
    <row r="168" ht="15.75" customHeight="1">
      <c r="A168" s="38"/>
      <c r="B168" s="38"/>
      <c r="C168" s="38"/>
    </row>
    <row r="169" ht="15.75" customHeight="1">
      <c r="A169" s="38"/>
      <c r="B169" s="38"/>
      <c r="C169" s="38"/>
    </row>
    <row r="170" ht="15.75" customHeight="1">
      <c r="A170" s="38"/>
      <c r="B170" s="38"/>
      <c r="C170" s="38"/>
    </row>
    <row r="171" ht="15.75" customHeight="1">
      <c r="A171" s="38"/>
      <c r="B171" s="38"/>
      <c r="C171" s="38"/>
    </row>
    <row r="172" ht="15.75" customHeight="1">
      <c r="A172" s="38"/>
      <c r="B172" s="38"/>
      <c r="C172" s="38"/>
    </row>
    <row r="173" ht="15.75" customHeight="1">
      <c r="A173" s="38"/>
      <c r="B173" s="38"/>
      <c r="C173" s="38"/>
    </row>
    <row r="174" ht="15.75" customHeight="1">
      <c r="A174" s="38"/>
      <c r="B174" s="38"/>
      <c r="C174" s="38"/>
    </row>
    <row r="175" ht="15.75" customHeight="1">
      <c r="A175" s="38"/>
      <c r="B175" s="38"/>
      <c r="C175" s="38"/>
    </row>
    <row r="176" ht="15.75" customHeight="1">
      <c r="A176" s="38"/>
      <c r="B176" s="38"/>
      <c r="C176" s="38"/>
    </row>
    <row r="177" ht="15.75" customHeight="1">
      <c r="A177" s="38"/>
      <c r="B177" s="38"/>
      <c r="C177" s="38"/>
    </row>
    <row r="178" ht="15.75" customHeight="1">
      <c r="A178" s="38"/>
      <c r="B178" s="38"/>
      <c r="C178" s="38"/>
    </row>
    <row r="179" ht="15.75" customHeight="1">
      <c r="A179" s="38"/>
      <c r="B179" s="38"/>
      <c r="C179" s="38"/>
    </row>
    <row r="180" ht="15.75" customHeight="1">
      <c r="A180" s="38"/>
      <c r="B180" s="38"/>
      <c r="C180" s="38"/>
    </row>
    <row r="181" ht="15.75" customHeight="1">
      <c r="A181" s="38"/>
      <c r="B181" s="38"/>
      <c r="C181" s="38"/>
    </row>
    <row r="182" ht="15.75" customHeight="1">
      <c r="A182" s="38"/>
      <c r="B182" s="38"/>
      <c r="C182" s="38"/>
    </row>
    <row r="183" ht="15.75" customHeight="1">
      <c r="A183" s="38"/>
      <c r="B183" s="38"/>
      <c r="C183" s="38"/>
    </row>
    <row r="184" ht="15.75" customHeight="1">
      <c r="A184" s="38"/>
      <c r="B184" s="38"/>
      <c r="C184" s="38"/>
    </row>
    <row r="185" ht="15.75" customHeight="1">
      <c r="A185" s="38"/>
      <c r="B185" s="38"/>
      <c r="C185" s="38"/>
    </row>
    <row r="186" ht="15.75" customHeight="1">
      <c r="A186" s="38"/>
      <c r="B186" s="38"/>
      <c r="C186" s="38"/>
    </row>
    <row r="187" ht="15.75" customHeight="1">
      <c r="A187" s="38"/>
      <c r="B187" s="38"/>
      <c r="C187" s="38"/>
    </row>
    <row r="188" ht="15.75" customHeight="1">
      <c r="A188" s="38"/>
      <c r="B188" s="38"/>
      <c r="C188" s="38"/>
    </row>
    <row r="189" ht="15.75" customHeight="1">
      <c r="A189" s="38"/>
      <c r="B189" s="38"/>
      <c r="C189" s="38"/>
    </row>
    <row r="190" ht="15.75" customHeight="1">
      <c r="A190" s="38"/>
      <c r="B190" s="38"/>
      <c r="C190" s="38"/>
    </row>
    <row r="191" ht="15.75" customHeight="1">
      <c r="A191" s="38"/>
      <c r="B191" s="38"/>
      <c r="C191" s="38"/>
    </row>
    <row r="192" ht="15.75" customHeight="1">
      <c r="A192" s="38"/>
      <c r="B192" s="38"/>
      <c r="C192" s="38"/>
    </row>
    <row r="193" ht="15.75" customHeight="1">
      <c r="A193" s="38"/>
      <c r="B193" s="38"/>
      <c r="C193" s="38"/>
    </row>
    <row r="194" ht="15.75" customHeight="1">
      <c r="A194" s="38"/>
      <c r="B194" s="38"/>
      <c r="C194" s="38"/>
    </row>
    <row r="195" ht="15.75" customHeight="1">
      <c r="A195" s="38"/>
      <c r="B195" s="38"/>
      <c r="C195" s="38"/>
    </row>
    <row r="196" ht="15.75" customHeight="1">
      <c r="A196" s="38"/>
      <c r="B196" s="38"/>
      <c r="C196" s="38"/>
    </row>
    <row r="197" ht="15.75" customHeight="1">
      <c r="A197" s="38"/>
      <c r="B197" s="38"/>
      <c r="C197" s="38"/>
    </row>
    <row r="198" ht="15.75" customHeight="1">
      <c r="A198" s="38"/>
      <c r="B198" s="38"/>
      <c r="C198" s="38"/>
    </row>
    <row r="199" ht="15.75" customHeight="1">
      <c r="A199" s="38"/>
      <c r="B199" s="38"/>
      <c r="C199" s="38"/>
    </row>
    <row r="200" ht="15.75" customHeight="1">
      <c r="A200" s="38"/>
      <c r="B200" s="38"/>
      <c r="C200" s="38"/>
    </row>
    <row r="201" ht="15.75" customHeight="1">
      <c r="A201" s="38"/>
      <c r="B201" s="38"/>
      <c r="C201" s="38"/>
    </row>
    <row r="202" ht="15.75" customHeight="1">
      <c r="A202" s="38"/>
      <c r="B202" s="38"/>
      <c r="C202" s="38"/>
    </row>
    <row r="203" ht="15.75" customHeight="1">
      <c r="A203" s="38"/>
      <c r="B203" s="38"/>
      <c r="C203" s="38"/>
    </row>
    <row r="204" ht="15.75" customHeight="1">
      <c r="A204" s="38"/>
      <c r="B204" s="38"/>
      <c r="C204" s="38"/>
    </row>
    <row r="205" ht="15.75" customHeight="1">
      <c r="A205" s="38"/>
      <c r="B205" s="38"/>
      <c r="C205" s="38"/>
    </row>
    <row r="206" ht="15.75" customHeight="1">
      <c r="A206" s="38"/>
      <c r="B206" s="38"/>
      <c r="C206" s="38"/>
    </row>
    <row r="207" ht="15.75" customHeight="1">
      <c r="A207" s="38"/>
      <c r="B207" s="38"/>
      <c r="C207" s="38"/>
    </row>
    <row r="208" ht="15.75" customHeight="1">
      <c r="A208" s="38"/>
      <c r="B208" s="38"/>
      <c r="C208" s="38"/>
    </row>
    <row r="209" ht="15.75" customHeight="1">
      <c r="A209" s="38"/>
      <c r="B209" s="38"/>
      <c r="C209" s="38"/>
    </row>
    <row r="210" ht="15.75" customHeight="1">
      <c r="A210" s="38"/>
      <c r="B210" s="38"/>
      <c r="C210" s="38"/>
    </row>
    <row r="211" ht="15.75" customHeight="1">
      <c r="A211" s="38"/>
      <c r="B211" s="38"/>
      <c r="C211" s="38"/>
    </row>
    <row r="212" ht="15.75" customHeight="1">
      <c r="A212" s="38"/>
      <c r="B212" s="38"/>
      <c r="C212" s="38"/>
    </row>
    <row r="213" ht="15.75" customHeight="1">
      <c r="A213" s="38"/>
      <c r="B213" s="38"/>
      <c r="C213" s="38"/>
    </row>
    <row r="214" ht="15.75" customHeight="1">
      <c r="A214" s="38"/>
      <c r="B214" s="38"/>
      <c r="C214" s="38"/>
    </row>
    <row r="215" ht="15.75" customHeight="1">
      <c r="A215" s="38"/>
      <c r="B215" s="38"/>
      <c r="C215" s="38"/>
    </row>
    <row r="216" ht="15.75" customHeight="1">
      <c r="A216" s="38"/>
      <c r="B216" s="38"/>
      <c r="C216" s="38"/>
    </row>
    <row r="217" ht="15.75" customHeight="1">
      <c r="A217" s="38"/>
      <c r="B217" s="38"/>
      <c r="C217" s="38"/>
    </row>
    <row r="218" ht="15.75" customHeight="1">
      <c r="A218" s="38"/>
      <c r="B218" s="38"/>
      <c r="C218" s="38"/>
    </row>
    <row r="219" ht="15.75" customHeight="1">
      <c r="A219" s="38"/>
      <c r="B219" s="38"/>
      <c r="C219" s="38"/>
    </row>
    <row r="220" ht="15.75" customHeight="1">
      <c r="A220" s="38"/>
      <c r="B220" s="38"/>
      <c r="C220" s="38"/>
    </row>
    <row r="221" ht="15.75" customHeight="1">
      <c r="A221" s="38"/>
      <c r="B221" s="38"/>
      <c r="C221" s="38"/>
    </row>
    <row r="222" ht="15.75" customHeight="1">
      <c r="A222" s="38"/>
      <c r="B222" s="38"/>
      <c r="C222" s="38"/>
    </row>
    <row r="223" ht="15.75" customHeight="1">
      <c r="A223" s="38"/>
      <c r="B223" s="38"/>
      <c r="C223" s="38"/>
    </row>
    <row r="224" ht="15.75" customHeight="1">
      <c r="A224" s="38"/>
      <c r="B224" s="38"/>
      <c r="C224" s="38"/>
    </row>
    <row r="225" ht="15.75" customHeight="1">
      <c r="A225" s="38"/>
      <c r="B225" s="38"/>
      <c r="C225" s="38"/>
    </row>
    <row r="226" ht="15.75" customHeight="1">
      <c r="A226" s="38"/>
      <c r="B226" s="38"/>
      <c r="C226" s="38"/>
    </row>
    <row r="227" ht="15.75" customHeight="1">
      <c r="A227" s="38"/>
      <c r="B227" s="38"/>
      <c r="C227" s="38"/>
    </row>
    <row r="228" ht="15.75" customHeight="1">
      <c r="A228" s="38"/>
      <c r="B228" s="38"/>
      <c r="C228" s="38"/>
    </row>
    <row r="229" ht="15.75" customHeight="1">
      <c r="A229" s="38"/>
      <c r="B229" s="38"/>
      <c r="C229" s="3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9:C19"/>
    <mergeCell ref="A26:C26"/>
  </mergeCells>
  <printOptions/>
  <pageMargins bottom="1.0" footer="0.0" header="0.0" left="0.75" right="0.75" top="1.0"/>
  <pageSetup paperSize="9" orientation="portrait"/>
  <drawing r:id="rId1"/>
</worksheet>
</file>